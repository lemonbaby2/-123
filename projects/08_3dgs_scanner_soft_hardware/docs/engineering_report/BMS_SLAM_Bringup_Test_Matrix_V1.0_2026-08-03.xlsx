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ee36278875445e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关键风险" sheetId="1" r:id="Rb41c1c0d24a54258"/>
    <x:sheet xmlns:r="http://schemas.openxmlformats.org/officeDocument/2006/relationships" name="仪表盘" sheetId="2" r:id="R51912c2cc3f24ee0"/>
    <x:sheet xmlns:r="http://schemas.openxmlformats.org/officeDocument/2006/relationships" name="文件清单" sheetId="3" r:id="Ra7825fd94c0141e2"/>
    <x:sheet xmlns:r="http://schemas.openxmlformats.org/officeDocument/2006/relationships" name="BMS器件" sheetId="4" r:id="R8584472e06364c36"/>
    <x:sheet xmlns:r="http://schemas.openxmlformats.org/officeDocument/2006/relationships" name="主控器件" sheetId="5" r:id="R636043af491b4893"/>
    <x:sheet xmlns:r="http://schemas.openxmlformats.org/officeDocument/2006/relationships" name="BMS测试矩阵" sheetId="6" r:id="Rd4e90f0407b44ed4"/>
    <x:sheet xmlns:r="http://schemas.openxmlformats.org/officeDocument/2006/relationships" name="主控测试矩阵" sheetId="7" r:id="Re0d972c63ba84c51"/>
    <x:sheet xmlns:r="http://schemas.openxmlformats.org/officeDocument/2006/relationships" name="3S2P接线" sheetId="8" r:id="Rd6b8734c90e64a65"/>
    <x:sheet xmlns:r="http://schemas.openxmlformats.org/officeDocument/2006/relationships" name="电源预算" sheetId="9" r:id="Rbcffa328031248c5"/>
    <x:sheet xmlns:r="http://schemas.openxmlformats.org/officeDocument/2006/relationships" name="生产投板清单" sheetId="10" r:id="Rb09f3d93ec6c49f3"/>
    <x:sheet xmlns:r="http://schemas.openxmlformats.org/officeDocument/2006/relationships" name="来源与假设" sheetId="11" r:id="Rc1457636ac0c456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%"/>
  </x:numFmts>
  <x:fonts count="14">
    <x:font>
      <x:sz val="11"/>
      <x:name val="Carlito"/>
    </x:font>
    <x:font>
      <x:b/>
      <x:sz val="18"/>
      <x:color rgb="FFFFFFFF"/>
      <x:name val="Carlito"/>
    </x:font>
    <x:font>
      <x:b/>
      <x:sz val="11"/>
      <x:color rgb="FF8B1E16"/>
      <x:name val="Carlito"/>
    </x:font>
    <x:font>
      <x:b/>
      <x:sz val="11"/>
      <x:color rgb="FFFFFFFF"/>
      <x:name val="Carlito"/>
    </x:font>
    <x:font>
      <x:b/>
      <x:sz val="11"/>
      <x:color rgb="FF17365D"/>
      <x:name val="Carlito"/>
    </x:font>
    <x:font>
      <x:b/>
      <x:sz val="15"/>
      <x:color rgb="FF8B1E16"/>
      <x:name val="Carlito"/>
    </x:font>
    <x:font>
      <x:sz val="10"/>
      <x:color rgb="FF7C2D12"/>
      <x:name val="Carlito"/>
    </x:font>
    <x:font>
      <x:b/>
      <x:sz val="16"/>
      <x:color rgb="FFFFFFFF"/>
      <x:name val="Carlito"/>
    </x:font>
    <x:font>
      <x:i/>
      <x:sz val="10"/>
      <x:color rgb="FF1F4E78"/>
      <x:name val="Carlito"/>
    </x:font>
    <x:font>
      <x:b/>
      <x:sz val="10"/>
      <x:color rgb="FFFFFFFF"/>
      <x:name val="Carlito"/>
    </x:font>
    <x:font>
      <x:sz val="9"/>
      <x:name val="Carlito"/>
    </x:font>
    <x:font>
      <x:sz val="8"/>
      <x:name val="Carlito"/>
    </x:font>
    <x:font>
      <x:b/>
      <x:sz val="11"/>
      <x:color rgb="FF7C2D12"/>
      <x:name val="Carlito"/>
    </x:font>
    <x:font>
      <x:sz val="9"/>
      <x:color rgb="FF7C2D12"/>
      <x:name val="Carlito"/>
    </x:font>
  </x:fonts>
  <x:fills count="10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FCE8E6"/>
      </x:patternFill>
    </x:fill>
    <x:fill>
      <x:patternFill patternType="solid">
        <x:fgColor rgb="FF1F4E78"/>
      </x:patternFill>
    </x:fill>
    <x:fill>
      <x:patternFill patternType="solid">
        <x:fgColor rgb="FFE8EEF5"/>
      </x:patternFill>
    </x:fill>
    <x:fill>
      <x:patternFill patternType="solid">
        <x:fgColor rgb="FFFFF7ED"/>
      </x:patternFill>
    </x:fill>
    <x:fill>
      <x:patternFill patternType="solid">
        <x:fgColor rgb="FFDDEBF7"/>
      </x:patternFill>
    </x:fill>
    <x:fill>
      <x:patternFill patternType="solid">
        <x:fgColor rgb="FFF8FAFC"/>
      </x:patternFill>
    </x:fill>
    <x:fill>
      <x:patternFill patternType="solid">
        <x:fgColor rgb="FFFFF4CE"/>
      </x:patternFill>
    </x:fill>
  </x:fills>
  <x:borders count="9">
    <x:border/>
    <x:border>
      <x:bottom/>
    </x:border>
    <x:border>
      <x:left/>
      <x:top/>
    </x:border>
    <x:border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right/>
      <x:bottom/>
    </x:border>
  </x:borders>
  <x:cellStyleXfs count="1">
    <x:xf numFmtId="0" fontId="0" fillId="0" borderId="0"/>
  </x:cellStyleXfs>
  <x:cellXfs count="130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horizontal="center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5" fillId="0" borderId="0" xfId="0" applyNumberFormat="1" applyFont="1" applyFill="1" applyBorder="1"/>
    <x:xf numFmtId="0" fontId="5" fillId="0" borderId="0" xfId="0" applyNumberFormat="1" applyFont="1" applyFill="1" applyBorder="1" applyAlignment="1">
      <x:alignment horizontal="center"/>
    </x:xf>
    <x:xf numFmtId="0" fontId="0" fillId="6" borderId="0" xfId="0" applyNumberFormat="1" applyFont="1" applyFill="1" applyBorder="1"/>
    <x:xf numFmtId="0" fontId="6" fillId="6" borderId="0" xfId="0" applyNumberFormat="1" applyFont="1" applyFill="1" applyBorder="1"/>
    <x:xf numFmtId="0" fontId="6" fillId="6" borderId="0" xfId="0" applyNumberFormat="1" applyFont="1" applyFill="1" applyBorder="1" applyAlignment="1">
      <x:alignment wrapText="1"/>
    </x:xf>
    <x:xf numFmtId="0" fontId="6" fillId="6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7" fillId="2" borderId="0" xfId="0" applyNumberFormat="1" applyFont="1" applyFill="1" applyBorder="1"/>
    <x:xf numFmtId="0" fontId="7" fillId="2" borderId="0" xfId="0" applyNumberFormat="1" applyFont="1" applyFill="1" applyBorder="1" applyAlignment="1">
      <x:alignment vertical="center"/>
    </x:xf>
    <x:xf numFmtId="0" fontId="0" fillId="7" borderId="0" xfId="0" applyNumberFormat="1" applyFont="1" applyFill="1" applyBorder="1"/>
    <x:xf numFmtId="0" fontId="8" fillId="7" borderId="0" xfId="0" applyNumberFormat="1" applyFont="1" applyFill="1" applyBorder="1"/>
    <x:xf numFmtId="0" fontId="8" fillId="7" borderId="0" xfId="0" applyNumberFormat="1" applyFont="1" applyFill="1" applyBorder="1" applyAlignment="1">
      <x:alignment wrapText="1"/>
    </x:xf>
    <x:xf numFmtId="0" fontId="8" fillId="7" borderId="0" xfId="0" applyNumberFormat="1" applyFont="1" applyFill="1" applyBorder="1" applyAlignment="1">
      <x:alignment vertical="center" wrapText="1"/>
    </x:xf>
    <x:xf numFmtId="0" fontId="9" fillId="4" borderId="0" xfId="0" applyNumberFormat="1" applyFont="1" applyFill="1" applyBorder="1"/>
    <x:xf numFmtId="0" fontId="9" fillId="4" borderId="0" xfId="0" applyNumberFormat="1" applyFont="1" applyFill="1" applyBorder="1" applyAlignment="1">
      <x:alignment wrapText="1"/>
    </x:xf>
    <x:xf numFmtId="0" fontId="9" fillId="4" borderId="0" xfId="0" applyNumberFormat="1" applyFont="1" applyFill="1" applyBorder="1" applyAlignment="1">
      <x:alignment horizontal="center" wrapText="1"/>
    </x:xf>
    <x:xf numFmtId="0" fontId="9" fillId="4" borderId="0" xfId="0" applyNumberFormat="1" applyFont="1" applyFill="1" applyBorder="1" applyAlignment="1">
      <x:alignment horizontal="center" vertical="center" wrapText="1"/>
    </x:xf>
    <x:xf numFmtId="0" fontId="10" fillId="0" borderId="0" xfId="0" applyNumberFormat="1" applyFont="1" applyFill="1" applyBorder="1"/>
    <x:xf numFmtId="0" fontId="10" fillId="0" borderId="2" xfId="0" applyNumberFormat="1" applyFont="1" applyFill="1" applyBorder="1"/>
    <x:xf numFmtId="0" fontId="10" fillId="0" borderId="3" xfId="0" applyNumberFormat="1" applyFont="1" applyFill="1" applyBorder="1"/>
    <x:xf numFmtId="0" fontId="10" fillId="0" borderId="4" xfId="0" applyNumberFormat="1" applyFont="1" applyFill="1" applyBorder="1"/>
    <x:xf numFmtId="0" fontId="10" fillId="0" borderId="5" xfId="0" applyNumberFormat="1" applyFont="1" applyFill="1" applyBorder="1"/>
    <x:xf numFmtId="0" fontId="10" fillId="0" borderId="6" xfId="0" applyNumberFormat="1" applyFont="1" applyFill="1" applyBorder="1"/>
    <x:xf numFmtId="0" fontId="10" fillId="0" borderId="7" xfId="0" applyNumberFormat="1" applyFont="1" applyFill="1" applyBorder="1"/>
    <x:xf numFmtId="0" fontId="10" fillId="0" borderId="1" xfId="0" applyNumberFormat="1" applyFont="1" applyFill="1" applyBorder="1"/>
    <x:xf numFmtId="0" fontId="10" fillId="0" borderId="8" xfId="0" applyNumberFormat="1" applyFont="1" applyFill="1" applyBorder="1"/>
    <x:xf numFmtId="0" fontId="10" fillId="0" borderId="2" xfId="0" applyNumberFormat="1" applyFont="1" applyFill="1" applyBorder="1" applyAlignment="1">
      <x:alignment wrapText="1"/>
    </x:xf>
    <x:xf numFmtId="0" fontId="10" fillId="0" borderId="3" xfId="0" applyNumberFormat="1" applyFont="1" applyFill="1" applyBorder="1" applyAlignment="1">
      <x:alignment wrapText="1"/>
    </x:xf>
    <x:xf numFmtId="0" fontId="10" fillId="0" borderId="4" xfId="0" applyNumberFormat="1" applyFont="1" applyFill="1" applyBorder="1" applyAlignment="1">
      <x:alignment wrapText="1"/>
    </x:xf>
    <x:xf numFmtId="0" fontId="10" fillId="0" borderId="5" xfId="0" applyNumberFormat="1" applyFont="1" applyFill="1" applyBorder="1" applyAlignment="1">
      <x:alignment wrapText="1"/>
    </x:xf>
    <x:xf numFmtId="0" fontId="10" fillId="0" borderId="0" xfId="0" applyNumberFormat="1" applyFont="1" applyFill="1" applyBorder="1" applyAlignment="1">
      <x:alignment wrapText="1"/>
    </x:xf>
    <x:xf numFmtId="0" fontId="10" fillId="0" borderId="6" xfId="0" applyNumberFormat="1" applyFont="1" applyFill="1" applyBorder="1" applyAlignment="1">
      <x:alignment wrapText="1"/>
    </x:xf>
    <x:xf numFmtId="0" fontId="10" fillId="0" borderId="7" xfId="0" applyNumberFormat="1" applyFont="1" applyFill="1" applyBorder="1" applyAlignment="1">
      <x:alignment wrapText="1"/>
    </x:xf>
    <x:xf numFmtId="0" fontId="10" fillId="0" borderId="1" xfId="0" applyNumberFormat="1" applyFont="1" applyFill="1" applyBorder="1" applyAlignment="1">
      <x:alignment wrapText="1"/>
    </x:xf>
    <x:xf numFmtId="0" fontId="10" fillId="0" borderId="8" xfId="0" applyNumberFormat="1" applyFont="1" applyFill="1" applyBorder="1" applyAlignment="1">
      <x:alignment wrapText="1"/>
    </x:xf>
    <x:xf numFmtId="0" fontId="10" fillId="0" borderId="2" xfId="0" applyNumberFormat="1" applyFont="1" applyFill="1" applyBorder="1" applyAlignment="1">
      <x:alignment vertical="top" wrapText="1"/>
    </x:xf>
    <x:xf numFmtId="0" fontId="10" fillId="0" borderId="3" xfId="0" applyNumberFormat="1" applyFont="1" applyFill="1" applyBorder="1" applyAlignment="1">
      <x:alignment vertical="top" wrapText="1"/>
    </x:xf>
    <x:xf numFmtId="0" fontId="10" fillId="0" borderId="4" xfId="0" applyNumberFormat="1" applyFont="1" applyFill="1" applyBorder="1" applyAlignment="1">
      <x:alignment vertical="top" wrapText="1"/>
    </x:xf>
    <x:xf numFmtId="0" fontId="10" fillId="0" borderId="5" xfId="0" applyNumberFormat="1" applyFont="1" applyFill="1" applyBorder="1" applyAlignment="1">
      <x:alignment vertical="top" wrapText="1"/>
    </x:xf>
    <x:xf numFmtId="0" fontId="10" fillId="0" borderId="0" xfId="0" applyNumberFormat="1" applyFont="1" applyFill="1" applyBorder="1" applyAlignment="1">
      <x:alignment vertical="top" wrapText="1"/>
    </x:xf>
    <x:xf numFmtId="0" fontId="10" fillId="0" borderId="6" xfId="0" applyNumberFormat="1" applyFont="1" applyFill="1" applyBorder="1" applyAlignment="1">
      <x:alignment vertical="top" wrapText="1"/>
    </x:xf>
    <x:xf numFmtId="0" fontId="10" fillId="0" borderId="7" xfId="0" applyNumberFormat="1" applyFont="1" applyFill="1" applyBorder="1" applyAlignment="1">
      <x:alignment vertical="top" wrapText="1"/>
    </x:xf>
    <x:xf numFmtId="0" fontId="10" fillId="0" borderId="1" xfId="0" applyNumberFormat="1" applyFont="1" applyFill="1" applyBorder="1" applyAlignment="1">
      <x:alignment vertical="top" wrapText="1"/>
    </x:xf>
    <x:xf numFmtId="0" fontId="10" fillId="0" borderId="8" xfId="0" applyNumberFormat="1" applyFont="1" applyFill="1" applyBorder="1" applyAlignment="1">
      <x:alignment vertical="top" wrapText="1"/>
    </x:xf>
    <x:xf numFmtId="0" fontId="10" fillId="3" borderId="2" xfId="0" applyNumberFormat="1" applyFont="1" applyFill="1" applyBorder="1" applyAlignment="1">
      <x:alignment vertical="top" wrapText="1"/>
    </x:xf>
    <x:xf numFmtId="0" fontId="10" fillId="3" borderId="3" xfId="0" applyNumberFormat="1" applyFont="1" applyFill="1" applyBorder="1" applyAlignment="1">
      <x:alignment vertical="top" wrapText="1"/>
    </x:xf>
    <x:xf numFmtId="0" fontId="10" fillId="3" borderId="4" xfId="0" applyNumberFormat="1" applyFont="1" applyFill="1" applyBorder="1" applyAlignment="1">
      <x:alignment vertical="top" wrapText="1"/>
    </x:xf>
    <x:xf numFmtId="0" fontId="10" fillId="8" borderId="5" xfId="0" applyNumberFormat="1" applyFont="1" applyFill="1" applyBorder="1" applyAlignment="1">
      <x:alignment vertical="top" wrapText="1"/>
    </x:xf>
    <x:xf numFmtId="0" fontId="10" fillId="8" borderId="0" xfId="0" applyNumberFormat="1" applyFont="1" applyFill="1" applyBorder="1" applyAlignment="1">
      <x:alignment vertical="top" wrapText="1"/>
    </x:xf>
    <x:xf numFmtId="0" fontId="10" fillId="8" borderId="6" xfId="0" applyNumberFormat="1" applyFont="1" applyFill="1" applyBorder="1" applyAlignment="1">
      <x:alignment vertical="top" wrapText="1"/>
    </x:xf>
    <x:xf numFmtId="0" fontId="10" fillId="3" borderId="5" xfId="0" applyNumberFormat="1" applyFont="1" applyFill="1" applyBorder="1" applyAlignment="1">
      <x:alignment vertical="top" wrapText="1"/>
    </x:xf>
    <x:xf numFmtId="0" fontId="10" fillId="3" borderId="0" xfId="0" applyNumberFormat="1" applyFont="1" applyFill="1" applyBorder="1" applyAlignment="1">
      <x:alignment vertical="top" wrapText="1"/>
    </x:xf>
    <x:xf numFmtId="0" fontId="10" fillId="3" borderId="6" xfId="0" applyNumberFormat="1" applyFont="1" applyFill="1" applyBorder="1" applyAlignment="1">
      <x:alignment vertical="top" wrapText="1"/>
    </x:xf>
    <x:xf numFmtId="0" fontId="10" fillId="9" borderId="5" xfId="0" applyNumberFormat="1" applyFont="1" applyFill="1" applyBorder="1" applyAlignment="1">
      <x:alignment vertical="top" wrapText="1"/>
    </x:xf>
    <x:xf numFmtId="0" fontId="10" fillId="9" borderId="0" xfId="0" applyNumberFormat="1" applyFont="1" applyFill="1" applyBorder="1" applyAlignment="1">
      <x:alignment vertical="top" wrapText="1"/>
    </x:xf>
    <x:xf numFmtId="0" fontId="10" fillId="9" borderId="6" xfId="0" applyNumberFormat="1" applyFont="1" applyFill="1" applyBorder="1" applyAlignment="1">
      <x:alignment vertical="top" wrapText="1"/>
    </x:xf>
    <x:xf numFmtId="0" fontId="10" fillId="8" borderId="7" xfId="0" applyNumberFormat="1" applyFont="1" applyFill="1" applyBorder="1" applyAlignment="1">
      <x:alignment vertical="top" wrapText="1"/>
    </x:xf>
    <x:xf numFmtId="0" fontId="10" fillId="8" borderId="1" xfId="0" applyNumberFormat="1" applyFont="1" applyFill="1" applyBorder="1" applyAlignment="1">
      <x:alignment vertical="top" wrapText="1"/>
    </x:xf>
    <x:xf numFmtId="0" fontId="10" fillId="8" borderId="8" xfId="0" applyNumberFormat="1" applyFont="1" applyFill="1" applyBorder="1" applyAlignment="1">
      <x:alignment vertical="top" wrapText="1"/>
    </x:xf>
    <x:xf numFmtId="0" fontId="11" fillId="0" borderId="0" xfId="0" applyNumberFormat="1" applyFont="1" applyFill="1" applyBorder="1"/>
    <x:xf numFmtId="0" fontId="11" fillId="0" borderId="2" xfId="0" applyNumberFormat="1" applyFont="1" applyFill="1" applyBorder="1"/>
    <x:xf numFmtId="0" fontId="11" fillId="0" borderId="3" xfId="0" applyNumberFormat="1" applyFont="1" applyFill="1" applyBorder="1"/>
    <x:xf numFmtId="0" fontId="11" fillId="0" borderId="4" xfId="0" applyNumberFormat="1" applyFont="1" applyFill="1" applyBorder="1"/>
    <x:xf numFmtId="0" fontId="11" fillId="0" borderId="5" xfId="0" applyNumberFormat="1" applyFont="1" applyFill="1" applyBorder="1"/>
    <x:xf numFmtId="0" fontId="11" fillId="0" borderId="6" xfId="0" applyNumberFormat="1" applyFont="1" applyFill="1" applyBorder="1"/>
    <x:xf numFmtId="0" fontId="11" fillId="0" borderId="7" xfId="0" applyNumberFormat="1" applyFont="1" applyFill="1" applyBorder="1"/>
    <x:xf numFmtId="0" fontId="11" fillId="0" borderId="1" xfId="0" applyNumberFormat="1" applyFont="1" applyFill="1" applyBorder="1"/>
    <x:xf numFmtId="0" fontId="11" fillId="0" borderId="8" xfId="0" applyNumberFormat="1" applyFont="1" applyFill="1" applyBorder="1"/>
    <x:xf numFmtId="0" fontId="11" fillId="0" borderId="2" xfId="0" applyNumberFormat="1" applyFont="1" applyFill="1" applyBorder="1" applyAlignment="1">
      <x:alignment wrapText="1"/>
    </x:xf>
    <x:xf numFmtId="0" fontId="11" fillId="0" borderId="3" xfId="0" applyNumberFormat="1" applyFont="1" applyFill="1" applyBorder="1" applyAlignment="1">
      <x:alignment wrapText="1"/>
    </x:xf>
    <x:xf numFmtId="0" fontId="11" fillId="0" borderId="4" xfId="0" applyNumberFormat="1" applyFont="1" applyFill="1" applyBorder="1" applyAlignment="1">
      <x:alignment wrapText="1"/>
    </x:xf>
    <x:xf numFmtId="0" fontId="11" fillId="0" borderId="5" xfId="0" applyNumberFormat="1" applyFont="1" applyFill="1" applyBorder="1" applyAlignment="1">
      <x:alignment wrapText="1"/>
    </x:xf>
    <x:xf numFmtId="0" fontId="11" fillId="0" borderId="0" xfId="0" applyNumberFormat="1" applyFont="1" applyFill="1" applyBorder="1" applyAlignment="1">
      <x:alignment wrapText="1"/>
    </x:xf>
    <x:xf numFmtId="0" fontId="11" fillId="0" borderId="6" xfId="0" applyNumberFormat="1" applyFont="1" applyFill="1" applyBorder="1" applyAlignment="1">
      <x:alignment wrapText="1"/>
    </x:xf>
    <x:xf numFmtId="0" fontId="11" fillId="0" borderId="7" xfId="0" applyNumberFormat="1" applyFont="1" applyFill="1" applyBorder="1" applyAlignment="1">
      <x:alignment wrapText="1"/>
    </x:xf>
    <x:xf numFmtId="0" fontId="11" fillId="0" borderId="1" xfId="0" applyNumberFormat="1" applyFont="1" applyFill="1" applyBorder="1" applyAlignment="1">
      <x:alignment wrapText="1"/>
    </x:xf>
    <x:xf numFmtId="0" fontId="11" fillId="0" borderId="8" xfId="0" applyNumberFormat="1" applyFont="1" applyFill="1" applyBorder="1" applyAlignment="1">
      <x:alignment wrapText="1"/>
    </x:xf>
    <x:xf numFmtId="0" fontId="11" fillId="0" borderId="2" xfId="0" applyNumberFormat="1" applyFont="1" applyFill="1" applyBorder="1" applyAlignment="1">
      <x:alignment vertical="top" wrapText="1"/>
    </x:xf>
    <x:xf numFmtId="0" fontId="11" fillId="0" borderId="3" xfId="0" applyNumberFormat="1" applyFont="1" applyFill="1" applyBorder="1" applyAlignment="1">
      <x:alignment vertical="top" wrapText="1"/>
    </x:xf>
    <x:xf numFmtId="0" fontId="11" fillId="0" borderId="4" xfId="0" applyNumberFormat="1" applyFont="1" applyFill="1" applyBorder="1" applyAlignment="1">
      <x:alignment vertical="top" wrapText="1"/>
    </x:xf>
    <x:xf numFmtId="0" fontId="11" fillId="0" borderId="5" xfId="0" applyNumberFormat="1" applyFont="1" applyFill="1" applyBorder="1" applyAlignment="1">
      <x:alignment vertical="top" wrapText="1"/>
    </x:xf>
    <x:xf numFmtId="0" fontId="11" fillId="0" borderId="0" xfId="0" applyNumberFormat="1" applyFont="1" applyFill="1" applyBorder="1" applyAlignment="1">
      <x:alignment vertical="top" wrapText="1"/>
    </x:xf>
    <x:xf numFmtId="0" fontId="11" fillId="0" borderId="6" xfId="0" applyNumberFormat="1" applyFont="1" applyFill="1" applyBorder="1" applyAlignment="1">
      <x:alignment vertical="top" wrapText="1"/>
    </x:xf>
    <x:xf numFmtId="0" fontId="11" fillId="0" borderId="7" xfId="0" applyNumberFormat="1" applyFont="1" applyFill="1" applyBorder="1" applyAlignment="1">
      <x:alignment vertical="top" wrapText="1"/>
    </x:xf>
    <x:xf numFmtId="0" fontId="11" fillId="0" borderId="1" xfId="0" applyNumberFormat="1" applyFont="1" applyFill="1" applyBorder="1" applyAlignment="1">
      <x:alignment vertical="top" wrapText="1"/>
    </x:xf>
    <x:xf numFmtId="0" fontId="11" fillId="0" borderId="8" xfId="0" applyNumberFormat="1" applyFont="1" applyFill="1" applyBorder="1" applyAlignment="1">
      <x:alignment vertical="top" wrapText="1"/>
    </x:xf>
    <x:xf numFmtId="0" fontId="11" fillId="8" borderId="5" xfId="0" applyNumberFormat="1" applyFont="1" applyFill="1" applyBorder="1" applyAlignment="1">
      <x:alignment vertical="top" wrapText="1"/>
    </x:xf>
    <x:xf numFmtId="0" fontId="11" fillId="8" borderId="0" xfId="0" applyNumberFormat="1" applyFont="1" applyFill="1" applyBorder="1" applyAlignment="1">
      <x:alignment vertical="top" wrapText="1"/>
    </x:xf>
    <x:xf numFmtId="0" fontId="11" fillId="8" borderId="6" xfId="0" applyNumberFormat="1" applyFont="1" applyFill="1" applyBorder="1" applyAlignment="1">
      <x:alignment vertical="top" wrapText="1"/>
    </x:xf>
    <x:xf numFmtId="0" fontId="11" fillId="3" borderId="5" xfId="0" applyNumberFormat="1" applyFont="1" applyFill="1" applyBorder="1" applyAlignment="1">
      <x:alignment vertical="top" wrapText="1"/>
    </x:xf>
    <x:xf numFmtId="0" fontId="11" fillId="3" borderId="0" xfId="0" applyNumberFormat="1" applyFont="1" applyFill="1" applyBorder="1" applyAlignment="1">
      <x:alignment vertical="top" wrapText="1"/>
    </x:xf>
    <x:xf numFmtId="0" fontId="11" fillId="3" borderId="6" xfId="0" applyNumberFormat="1" applyFont="1" applyFill="1" applyBorder="1" applyAlignment="1">
      <x:alignment vertical="top" wrapText="1"/>
    </x:xf>
    <x:xf numFmtId="0" fontId="11" fillId="9" borderId="5" xfId="0" applyNumberFormat="1" applyFont="1" applyFill="1" applyBorder="1" applyAlignment="1">
      <x:alignment vertical="top" wrapText="1"/>
    </x:xf>
    <x:xf numFmtId="0" fontId="11" fillId="9" borderId="0" xfId="0" applyNumberFormat="1" applyFont="1" applyFill="1" applyBorder="1" applyAlignment="1">
      <x:alignment vertical="top" wrapText="1"/>
    </x:xf>
    <x:xf numFmtId="0" fontId="11" fillId="9" borderId="6" xfId="0" applyNumberFormat="1" applyFont="1" applyFill="1" applyBorder="1" applyAlignment="1">
      <x:alignment vertical="top" wrapText="1"/>
    </x:xf>
    <x:xf numFmtId="0" fontId="11" fillId="8" borderId="7" xfId="0" applyNumberFormat="1" applyFont="1" applyFill="1" applyBorder="1" applyAlignment="1">
      <x:alignment vertical="top" wrapText="1"/>
    </x:xf>
    <x:xf numFmtId="0" fontId="11" fillId="8" borderId="1" xfId="0" applyNumberFormat="1" applyFont="1" applyFill="1" applyBorder="1" applyAlignment="1">
      <x:alignment vertical="top" wrapText="1"/>
    </x:xf>
    <x:xf numFmtId="0" fontId="11" fillId="8" borderId="8" xfId="0" applyNumberFormat="1" applyFont="1" applyFill="1" applyBorder="1" applyAlignment="1">
      <x:alignment vertical="top" wrapText="1"/>
    </x:xf>
    <x:xf numFmtId="0" fontId="11" fillId="3" borderId="2" xfId="0" applyNumberFormat="1" applyFont="1" applyFill="1" applyBorder="1" applyAlignment="1">
      <x:alignment vertical="top" wrapText="1"/>
    </x:xf>
    <x:xf numFmtId="0" fontId="11" fillId="3" borderId="3" xfId="0" applyNumberFormat="1" applyFont="1" applyFill="1" applyBorder="1" applyAlignment="1">
      <x:alignment vertical="top" wrapText="1"/>
    </x:xf>
    <x:xf numFmtId="0" fontId="11" fillId="3" borderId="4" xfId="0" applyNumberFormat="1" applyFont="1" applyFill="1" applyBorder="1" applyAlignment="1">
      <x:alignment vertical="top" wrapText="1"/>
    </x:xf>
    <x:xf numFmtId="0" fontId="2" fillId="3" borderId="0" xfId="0" applyNumberFormat="1" applyFont="1" applyFill="1" applyBorder="1" applyAlignment="1">
      <x:alignment wrapText="1"/>
    </x:xf>
    <x:xf numFmtId="0" fontId="0" fillId="9" borderId="0" xfId="0" applyNumberFormat="1" applyFont="1" applyFill="1" applyBorder="1"/>
    <x:xf numFmtId="0" fontId="12" fillId="9" borderId="0" xfId="0" applyNumberFormat="1" applyFont="1" applyFill="1" applyBorder="1"/>
    <x:xf numFmtId="0" fontId="12" fillId="9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wrapText="1"/>
    </x:xf>
    <x:xf numFmtId="0" fontId="0" fillId="9" borderId="0" xfId="0" applyNumberFormat="1" applyFont="1" applyFill="1" applyBorder="1" applyAlignment="1">
      <x:alignment wrapText="1"/>
    </x:xf>
    <x:xf numFmtId="0" fontId="0" fillId="9" borderId="1" xfId="0" applyNumberFormat="1" applyFont="1" applyFill="1" applyBorder="1" applyAlignment="1">
      <x:alignment wrapText="1"/>
    </x:xf>
    <x:xf numFmtId="200" fontId="0" fillId="9" borderId="0" xfId="0" applyNumberFormat="1" applyFont="1" applyFill="1" applyBorder="1" applyAlignment="1">
      <x:alignment wrapText="1"/>
    </x:xf>
    <x:xf numFmtId="200" fontId="0" fillId="9" borderId="1" xfId="0" applyNumberFormat="1" applyFont="1" applyFill="1" applyBorder="1" applyAlignment="1">
      <x:alignment wrapText="1"/>
    </x:xf>
    <x:xf numFmtId="200" fontId="0" fillId="9" borderId="0" xfId="0" applyNumberFormat="1" applyFont="1" applyFill="1" applyBorder="1"/>
    <x:xf numFmtId="0" fontId="4" fillId="5" borderId="1" xfId="0" applyNumberFormat="1" applyFont="1" applyFill="1" applyBorder="1"/>
    <x:xf numFmtId="0" fontId="13" fillId="6" borderId="0" xfId="0" applyNumberFormat="1" applyFont="1" applyFill="1" applyBorder="1"/>
    <x:xf numFmtId="0" fontId="13" fillId="6" borderId="0" xfId="0" applyNumberFormat="1" applyFont="1" applyFill="1" applyBorder="1" applyAlignment="1">
      <x:alignment wrapText="1"/>
    </x:xf>
    <x:xf numFmtId="0" fontId="13" fillId="6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9ded6168a1b4c42" /><Relationship Type="http://schemas.openxmlformats.org/officeDocument/2006/relationships/theme" Target="/xl/theme/theme1.xml" Id="Rb5c54da7e94a4e00" /><Relationship Type="http://schemas.openxmlformats.org/officeDocument/2006/relationships/sharedStrings" Target="/xl/sharedStrings.xml" Id="Rf23228ef2bde4fcb" /><Relationship Type="http://schemas.openxmlformats.org/officeDocument/2006/relationships/worksheet" Target="/xl/worksheets/sheet1.xml" Id="Rb41c1c0d24a54258" /><Relationship Type="http://schemas.openxmlformats.org/officeDocument/2006/relationships/worksheet" Target="/xl/worksheets/sheet2.xml" Id="R51912c2cc3f24ee0" /><Relationship Type="http://schemas.openxmlformats.org/officeDocument/2006/relationships/worksheet" Target="/xl/worksheets/sheet3.xml" Id="Ra7825fd94c0141e2" /><Relationship Type="http://schemas.openxmlformats.org/officeDocument/2006/relationships/worksheet" Target="/xl/worksheets/sheet4.xml" Id="R8584472e06364c36" /><Relationship Type="http://schemas.openxmlformats.org/officeDocument/2006/relationships/worksheet" Target="/xl/worksheets/sheet5.xml" Id="R636043af491b4893" /><Relationship Type="http://schemas.openxmlformats.org/officeDocument/2006/relationships/worksheet" Target="/xl/worksheets/sheet6.xml" Id="Rd4e90f0407b44ed4" /><Relationship Type="http://schemas.openxmlformats.org/officeDocument/2006/relationships/worksheet" Target="/xl/worksheets/sheet7.xml" Id="Re0d972c63ba84c51" /><Relationship Type="http://schemas.openxmlformats.org/officeDocument/2006/relationships/worksheet" Target="/xl/worksheets/sheet8.xml" Id="Rd6b8734c90e64a65" /><Relationship Type="http://schemas.openxmlformats.org/officeDocument/2006/relationships/worksheet" Target="/xl/worksheets/sheet9.xml" Id="Rbcffa328031248c5" /><Relationship Type="http://schemas.openxmlformats.org/officeDocument/2006/relationships/worksheet" Target="/xl/worksheets/sheet10.xml" Id="Rb09f3d93ec6c49f3" /><Relationship Type="http://schemas.openxmlformats.org/officeDocument/2006/relationships/worksheet" Target="/xl/worksheets/sheet11.xml" Id="Rc1457636ac0c456c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f94db7f07f71434b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未关闭风险等级分布</a:t>
            </a:r>
          </a:p>
        </c:rich>
      </c:tx>
      <c:overlay val="0"/>
    </c:title>
    <c:plotArea>
      <c:barChart>
        <c:barDir val="col"/>
        <c:varyColors val="0"/>
        <c:ser>
          <c:idx val="0"/>
          <c:order val="0"/>
          <c:tx>
            <c:v>数量</c:v>
          </c:tx>
          <c:cat>
            <c:strRef>
              <c:f>'仪表盘'!$A$12:$A$14</c:f>
              <c:strCache>
                <c:ptCount val="0"/>
              </c:strCache>
            </c:strRef>
          </c:cat>
          <c:val>
            <c:numRef>
              <c:f>'仪表盘'!$B$12:$B$14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3</xdr:col>
      <xdr:colOff>0</xdr:colOff>
      <xdr:row>10</xdr:row>
      <xdr:rowOff>0</xdr:rowOff>
    </xdr:from>
    <xdr:to>
      <xdr:col>8</xdr:col>
      <xdr:colOff>0</xdr:colOff>
      <xdr:row>24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f94db7f07f71434b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/xl/drawings/drawing1.xml" Id="Rfa112bdf85cd413b" /></Relationships>
</file>

<file path=xl/worksheets/sheet1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10" hidden="0" customWidth="1"/>
    <x:col min="3" max="3" width="12" hidden="0" customWidth="1"/>
    <x:col min="4" max="4" width="28" hidden="0" customWidth="1"/>
    <x:col min="5" max="5" width="42" hidden="0" customWidth="1"/>
    <x:col min="6" max="6" width="48" hidden="0" customWidth="1"/>
    <x:col min="7" max="7" width="14" hidden="0" customWidth="1"/>
    <x:col min="8" max="8" width="12" hidden="0" customWidth="1"/>
  </x:cols>
  <x:sheetData>
    <x:row r="1" ht="30" customHeight="1">
      <x:c r="A1" s="23" t="str">
        <x:v>关键风险与整改闭环</x:v>
      </x:c>
      <x:c r="B1" s="23"/>
      <x:c r="C1" s="23"/>
      <x:c r="D1" s="23"/>
      <x:c r="E1" s="23"/>
      <x:c r="F1" s="23"/>
      <x:c r="G1" s="23"/>
      <x:c r="H1" s="23"/>
    </x:row>
    <x:row r="2" ht="26" customHeight="1">
      <x:c r="A2" s="27" t="str">
        <x:v>状态列可更新；P0 关闭前禁止投板/真实电池上电</x:v>
      </x:c>
      <x:c r="B2" s="27"/>
      <x:c r="C2" s="27"/>
      <x:c r="D2" s="27"/>
      <x:c r="E2" s="27"/>
      <x:c r="F2" s="27"/>
      <x:c r="G2" s="27"/>
      <x:c r="H2" s="27"/>
    </x:row>
    <x:row r="4" ht="26" customHeight="1">
      <x:c r="A4" s="31" t="str">
        <x:v>ID</x:v>
      </x:c>
      <x:c r="B4" s="31" t="str">
        <x:v>板卡</x:v>
      </x:c>
      <x:c r="C4" s="31" t="str">
        <x:v>等级</x:v>
      </x:c>
      <x:c r="D4" s="31" t="str">
        <x:v>问题</x:v>
      </x:c>
      <x:c r="E4" s="31" t="str">
        <x:v>证据/影响</x:v>
      </x:c>
      <x:c r="F4" s="31" t="str">
        <x:v>要求动作</x:v>
      </x:c>
      <x:c r="G4" s="31" t="str">
        <x:v>责任</x:v>
      </x:c>
      <x:c r="H4" s="31" t="str">
        <x:v>状态</x:v>
      </x:c>
    </x:row>
    <x:row r="5">
      <x:c r="A5" s="59" t="str">
        <x:v>R-01</x:v>
      </x:c>
      <x:c r="B5" s="60" t="str">
        <x:v>BMS</x:v>
      </x:c>
      <x:c r="C5" s="60" t="str">
        <x:v>P0 阻断</x:v>
      </x:c>
      <x:c r="D5" s="60" t="str">
        <x:v>BQ76920 3S VC 映射错误</x:v>
      </x:c>
      <x:c r="E5" s="60" t="str">
        <x:v>图中 CELL3/2/1/0 接 VC3/2/1/0，VC4/VC5 悬空；不符合 TI 3 节配置。</x:v>
      </x:c>
      <x:c r="F5" s="60" t="str">
        <x:v>按 TI 表 9-2 重画：VC5=B+，VC4=VC3=VC2=B2，VC1=B1，VC0=B-；同步重做均衡网络并 ERC。</x:v>
      </x:c>
      <x:c r="G5" s="60" t="str">
        <x:v>硬件负责人</x:v>
      </x:c>
      <x:c r="H5" s="61" t="str">
        <x:v>未关闭</x:v>
      </x:c>
    </x:row>
    <x:row r="6">
      <x:c r="A6" s="65" t="str">
        <x:v>R-02</x:v>
      </x:c>
      <x:c r="B6" s="66" t="str">
        <x:v>BMS</x:v>
      </x:c>
      <x:c r="C6" s="66" t="str">
        <x:v>P0 阻断</x:v>
      </x:c>
      <x:c r="D6" s="66" t="str">
        <x:v>BMS PCB 文件错误/缺失</x:v>
      </x:c>
      <x:c r="E6" s="66" t="str">
        <x:v>BMS_PCB1 与主PCB板 PDF 的页面文本和版图视觉内容相同。</x:v>
      </x:c>
      <x:c r="F6" s="66" t="str">
        <x:v>补交 BMS Gerber、钻孔、IPC-356/网表、BOM、CPL、叠层和真实 PCB PDF。</x:v>
      </x:c>
      <x:c r="G6" s="66" t="str">
        <x:v>EDA负责人</x:v>
      </x:c>
      <x:c r="H6" s="67" t="str">
        <x:v>未关闭</x:v>
      </x:c>
    </x:row>
    <x:row r="7">
      <x:c r="A7" s="65" t="str">
        <x:v>R-03</x:v>
      </x:c>
      <x:c r="B7" s="66" t="str">
        <x:v>主控</x:v>
      </x:c>
      <x:c r="C7" s="66" t="str">
        <x:v>P0 阻断</x:v>
      </x:c>
      <x:c r="D7" s="66" t="str">
        <x:v>TPS16630 限流值错误</x:v>
      </x:c>
      <x:c r="E7" s="66" t="str">
        <x:v>R47=166 kΩ；官方 IOL(A)=18/RILIM(kΩ)，约 0.108 A 且超出有效调节范围。</x:v>
      </x:c>
      <x:c r="F7" s="66" t="str">
        <x:v>依据目标电流重算；3 A 约 6.0 kΩ，6 A 约 3.0 kΩ；完成最坏情况和热验证。</x:v>
      </x:c>
      <x:c r="G7" s="66" t="str">
        <x:v>电源负责人</x:v>
      </x:c>
      <x:c r="H7" s="67" t="str">
        <x:v>未关闭</x:v>
      </x:c>
    </x:row>
    <x:row r="8">
      <x:c r="A8" s="65" t="str">
        <x:v>R-04</x:v>
      </x:c>
      <x:c r="B8" s="66" t="str">
        <x:v>主控</x:v>
      </x:c>
      <x:c r="C8" s="66" t="str">
        <x:v>P0 阻断</x:v>
      </x:c>
      <x:c r="D8" s="66" t="str">
        <x:v>300 W 雷达支路能力不成立</x:v>
      </x:c>
      <x:c r="E8" s="66" t="str">
        <x:v>TPS16630 最大限流约 6 A；12 V 下仅约 72 W，不能承载标注的 300 W 外接 DC-DC。</x:v>
      </x:c>
      <x:c r="F8" s="66" t="str">
        <x:v>拆分大功率路径或选用合适热插拔/保险/连接器/铜厚；完成线束和散热预算。</x:v>
      </x:c>
      <x:c r="G8" s="66" t="str">
        <x:v>系统负责人</x:v>
      </x:c>
      <x:c r="H8" s="67" t="str">
        <x:v>未关闭</x:v>
      </x:c>
    </x:row>
    <x:row r="9">
      <x:c r="A9" s="68" t="str">
        <x:v>R-05</x:v>
      </x:c>
      <x:c r="B9" s="69" t="str">
        <x:v>主控</x:v>
      </x:c>
      <x:c r="C9" s="69" t="str">
        <x:v>P1 重大</x:v>
      </x:c>
      <x:c r="D9" s="69" t="str">
        <x:v>MTi-3 模拟电源串 27 Ω</x:v>
      </x:c>
      <x:c r="E9" s="69" t="str">
        <x:v>R31=27 Ω，而 Xsens 单电源参考建议用低 DCR 磁珠进行隔离。</x:v>
      </x:c>
      <x:c r="F9" s="69" t="str">
        <x:v>改用 DCR&lt;=1 Ω 的磁珠或按官方参考设计处理，并测 VDDA 压降与纹波。</x:v>
      </x:c>
      <x:c r="G9" s="69" t="str">
        <x:v>硬件负责人</x:v>
      </x:c>
      <x:c r="H9" s="70" t="str">
        <x:v>未关闭</x:v>
      </x:c>
    </x:row>
    <x:row r="10">
      <x:c r="A10" s="68" t="str">
        <x:v>R-06</x:v>
      </x:c>
      <x:c r="B10" s="69" t="str">
        <x:v>主控</x:v>
      </x:c>
      <x:c r="C10" s="69" t="str">
        <x:v>P1 重大</x:v>
      </x:c>
      <x:c r="D10" s="69" t="str">
        <x:v>U5 与 U10 电源方案装配边界不清</x:v>
      </x:c>
      <x:c r="E10" s="69" t="str">
        <x:v>原理图同时出现成品 5 V/3 A 模块和 TPS5430 离散 Buck。</x:v>
      </x:c>
      <x:c r="F10" s="69" t="str">
        <x:v>发布明确 DNP/BOM 变体，禁止两套输出互相回灌；分别验证软启动与环路。</x:v>
      </x:c>
      <x:c r="G10" s="69" t="str">
        <x:v>EDA负责人</x:v>
      </x:c>
      <x:c r="H10" s="70" t="str">
        <x:v>未关闭</x:v>
      </x:c>
    </x:row>
    <x:row r="11">
      <x:c r="A11" s="68" t="str">
        <x:v>R-07</x:v>
      </x:c>
      <x:c r="B11" s="69" t="str">
        <x:v>主控</x:v>
      </x:c>
      <x:c r="C11" s="69" t="str">
        <x:v>P1 重大</x:v>
      </x:c>
      <x:c r="D11" s="69" t="str">
        <x:v>天线偏置 0 Ω 选择可能短接电源</x:v>
      </x:c>
      <x:c r="E11" s="69" t="str">
        <x:v>R52/R53、R54/R55 为 3.3 V/5 V 二选一；同时焊接会短接电源。</x:v>
      </x:c>
      <x:c r="F11" s="69" t="str">
        <x:v>BOM 中建立互斥变体，AOI 和首件检查必须核对。</x:v>
      </x:c>
      <x:c r="G11" s="69" t="str">
        <x:v>生产负责人</x:v>
      </x:c>
      <x:c r="H11" s="70" t="str">
        <x:v>未关闭</x:v>
      </x:c>
    </x:row>
    <x:row r="12">
      <x:c r="A12" s="68" t="str">
        <x:v>R-08</x:v>
      </x:c>
      <x:c r="B12" s="69" t="str">
        <x:v>BMS</x:v>
      </x:c>
      <x:c r="C12" s="69" t="str">
        <x:v>P1 重大</x:v>
      </x:c>
      <x:c r="D12" s="69" t="str">
        <x:v>现有 SOP 用单一 12 V 替代 3S 节点</x:v>
      </x:c>
      <x:c r="E12" s="69" t="str">
        <x:v>单电源无法提供 B1/B2 抽头，可能导致采样输入超限或误判。</x:v>
      </x:c>
      <x:c r="F12" s="69" t="str">
        <x:v>首板仅用三路隔离电源串联或电芯模拟器；单通道电源只能用于主控母线测试。</x:v>
      </x:c>
      <x:c r="G12" s="69" t="str">
        <x:v>测试负责人</x:v>
      </x:c>
      <x:c r="H12" s="70" t="str">
        <x:v>未关闭</x:v>
      </x:c>
    </x:row>
    <x:row r="13">
      <x:c r="A13" s="68" t="str">
        <x:v>R-09</x:v>
      </x:c>
      <x:c r="B13" s="69" t="str">
        <x:v>BMS</x:v>
      </x:c>
      <x:c r="C13" s="69" t="str">
        <x:v>P1 重大</x:v>
      </x:c>
      <x:c r="D13" s="69" t="str">
        <x:v>BMS 不是充电器</x:v>
      </x:c>
      <x:c r="E13" s="69" t="str">
        <x:v>BQ76920 是监测/保护 AFE，不提供 3S CC/CV 充电控制。</x:v>
      </x:c>
      <x:c r="F13" s="69" t="str">
        <x:v>锂离子用 12.6 V CC/CV 专用充电器；LiFePO4 用 10.95 V；电流按电芯、BMS、线束最小限值。</x:v>
      </x:c>
      <x:c r="G13" s="69" t="str">
        <x:v>系统负责人</x:v>
      </x:c>
      <x:c r="H13" s="70" t="str">
        <x:v>未关闭</x:v>
      </x:c>
    </x:row>
    <x:row r="14">
      <x:c r="A14" s="68" t="str">
        <x:v>R-10</x:v>
      </x:c>
      <x:c r="B14" s="69" t="str">
        <x:v>主控</x:v>
      </x:c>
      <x:c r="C14" s="69" t="str">
        <x:v>P1 重大</x:v>
      </x:c>
      <x:c r="D14" s="69" t="str">
        <x:v>SY6280 输入网络需确认</x:v>
      </x:c>
      <x:c r="E14" s="69" t="str">
        <x:v>SY6280 额定输入约 2.4-5.5 V，必须确认其 IN 不直接落在 3S VBAT。</x:v>
      </x:c>
      <x:c r="F14" s="69" t="str">
        <x:v>用网表/万用表确认 IN=5V_SYS；若接 VBAT 必须改器件。</x:v>
      </x:c>
      <x:c r="G14" s="69" t="str">
        <x:v>硬件负责人</x:v>
      </x:c>
      <x:c r="H14" s="70" t="str">
        <x:v>未关闭</x:v>
      </x:c>
    </x:row>
    <x:row r="15">
      <x:c r="A15" s="68" t="str">
        <x:v>R-11</x:v>
      </x:c>
      <x:c r="B15" s="69" t="str">
        <x:v>主控</x:v>
      </x:c>
      <x:c r="C15" s="69" t="str">
        <x:v>P1 重大</x:v>
      </x:c>
      <x:c r="D15" s="69" t="str">
        <x:v>MTi-3 禁布铜/磁环境未由生产包证明</x:v>
      </x:c>
      <x:c r="E15" s="69" t="str">
        <x:v>PDF 不能证明全部层 keepout；周边有高电流与磁性器件风险。</x:v>
      </x:c>
      <x:c r="F15" s="69" t="str">
        <x:v>在所有铜层建立 keepout，远离电感/大电流/铁磁紧固件；用 Gerber 验证。</x:v>
      </x:c>
      <x:c r="G15" s="69" t="str">
        <x:v>PCB负责人</x:v>
      </x:c>
      <x:c r="H15" s="70" t="str">
        <x:v>未关闭</x:v>
      </x:c>
    </x:row>
    <x:row r="16">
      <x:c r="A16" s="62" t="str">
        <x:v>R-12</x:v>
      </x:c>
      <x:c r="B16" s="63" t="str">
        <x:v>主控</x:v>
      </x:c>
      <x:c r="C16" s="63" t="str">
        <x:v>P2 中等</x:v>
      </x:c>
      <x:c r="D16" s="63" t="str">
        <x:v>UM982 射频阻抗和回流路径未证明</x:v>
      </x:c>
      <x:c r="E16" s="63" t="str">
        <x:v>只有 PCB PDF，缺叠层、阻抗计算和 TDR coupon。</x:v>
      </x:c>
      <x:c r="F16" s="63" t="str">
        <x:v>提供 50 Ω 单端计算、叠层、制造补偿与 TDR 记录；核对 ESD 和偏置网络。</x:v>
      </x:c>
      <x:c r="G16" s="63" t="str">
        <x:v>PCB负责人</x:v>
      </x:c>
      <x:c r="H16" s="64" t="str">
        <x:v>未关闭</x:v>
      </x:c>
    </x:row>
    <x:row r="17">
      <x:c r="A17" s="53" t="str">
        <x:v>R-13</x:v>
      </x:c>
      <x:c r="B17" s="54" t="str">
        <x:v>系统</x:v>
      </x:c>
      <x:c r="C17" s="54" t="str">
        <x:v>P2 中等</x:v>
      </x:c>
      <x:c r="D17" s="54" t="str">
        <x:v>接口命名可能误导</x:v>
      </x:c>
      <x:c r="E17" s="54" t="str">
        <x:v>CN8 标为 BMS 串口，而 BQ76920 实际通过 H1 I2C 通信。</x:v>
      </x:c>
      <x:c r="F17" s="54" t="str">
        <x:v>丝印/文档区分 BQ I2C 与预留 UART3，防止误插。</x:v>
      </x:c>
      <x:c r="G17" s="54" t="str">
        <x:v>系统负责人</x:v>
      </x:c>
      <x:c r="H17" s="55" t="str">
        <x:v>未关闭</x:v>
      </x:c>
    </x:row>
    <x:row r="18">
      <x:c r="A18" s="68" t="str">
        <x:v>R-14</x:v>
      </x:c>
      <x:c r="B18" s="69" t="str">
        <x:v>生产</x:v>
      </x:c>
      <x:c r="C18" s="69" t="str">
        <x:v>P1 重大</x:v>
      </x:c>
      <x:c r="D18" s="69" t="str">
        <x:v>缺少可制造性资料</x:v>
      </x:c>
      <x:c r="E18" s="69" t="str">
        <x:v>未提供 BOM MPN、封装库版本、坐标、Gerber、钻孔、叠层、阻抗、拼板和钢网规范。</x:v>
      </x:c>
      <x:c r="F18" s="69" t="str">
        <x:v>补齐生产发布包并进行 DFM/DFT 评审后方可投板。</x:v>
      </x:c>
      <x:c r="G18" s="69" t="str">
        <x:v>项目负责人</x:v>
      </x:c>
      <x:c r="H18" s="70" t="str">
        <x:v>未关闭</x:v>
      </x:c>
    </x:row>
    <x:row r="19">
      <x:c r="A19" s="56" t="str">
        <x:v>R-15</x:v>
      </x:c>
      <x:c r="B19" s="57" t="str">
        <x:v>系统</x:v>
      </x:c>
      <x:c r="C19" s="57" t="str">
        <x:v>P2 中等</x:v>
      </x:c>
      <x:c r="D19" s="57" t="str">
        <x:v>适配器总功率未闭合</x:v>
      </x:c>
      <x:c r="E19" s="57" t="str">
        <x:v>Jetson 型号、雷达实际功耗、电机峰值、转换效率和线束压降未定。</x:v>
      </x:c>
      <x:c r="F19" s="57" t="str">
        <x:v>用 Excel 电源预算表填入实测/规格值，按最低输入电压及 25% 裕量选型。</x:v>
      </x:c>
      <x:c r="G19" s="57" t="str">
        <x:v>系统负责人</x:v>
      </x:c>
      <x:c r="H19" s="58" t="str">
        <x:v>未关闭</x:v>
      </x:c>
    </x:row>
  </x:sheetData>
  <x:mergeCells>
    <x:mergeCell ref="A1:H1"/>
    <x:mergeCell ref="A2:H2"/>
  </x:mergeCells>
  <x:dataValidations count="1">
    <x:dataValidation type="list" sqref="H5:H19">
      <x:formula1>"未关闭,整改中,待复验,已关闭,不适用"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2" hidden="0" customWidth="1"/>
    <x:col min="3" max="3" width="3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</x:cols>
  <x:sheetData>
    <x:row r="1" ht="34" customHeight="1">
      <x:c r="A1" s="3" t="str">
        <x:v>BMS 与 SLAM 主控首板测试工作簿</x:v>
      </x:c>
      <x:c r="B1" s="3"/>
      <x:c r="C1" s="3"/>
      <x:c r="D1" s="3"/>
      <x:c r="E1" s="3"/>
      <x:c r="F1" s="3"/>
      <x:c r="G1" s="3"/>
      <x:c r="H1" s="3"/>
    </x:row>
    <x:row r="2" ht="30" customHeight="1">
      <x:c r="A2" s="6" t="str">
        <x:v>V1.0 | 2026-08-03 | 以四份 PDF 图纸为主、DOCX 仅作 SOP 对照 | 红色项目关闭前不得投板或连接真实电池</x:v>
      </x:c>
      <x:c r="B2" s="6"/>
      <x:c r="C2" s="6"/>
      <x:c r="D2" s="6"/>
      <x:c r="E2" s="6"/>
      <x:c r="F2" s="6"/>
      <x:c r="G2" s="6"/>
      <x:c r="H2" s="6"/>
    </x:row>
    <x:row r="4">
      <x:c r="A4" s="9" t="str">
        <x:v>指标</x:v>
      </x:c>
      <x:c r="B4" s="9" t="str">
        <x:v>数量/状态</x:v>
      </x:c>
      <x:c r="D4" s="9" t="str">
        <x:v>首板放行门槛</x:v>
      </x:c>
      <x:c r="E4" s="9"/>
      <x:c r="F4" s="9"/>
      <x:c r="G4" s="9"/>
      <x:c r="H4" s="9"/>
    </x:row>
    <x:row r="5" ht="24" customHeight="1">
      <x:c r="A5" s="11" t="str">
        <x:v>P0 阻断风险</x:v>
      </x:c>
      <x:c r="B5" s="13" t="n">
        <x:f>COUNTIF('关键风险'!$C$5:$C$100,"P0 阻断")</x:f>
        <x:v>4</x:v>
      </x:c>
      <x:c r="D5" s="17" t="str">
        <x:v>1. 修正 BQ76920 3S VC 映射和均衡网络</x:v>
      </x:c>
      <x:c r="E5" s="17"/>
      <x:c r="F5" s="17"/>
      <x:c r="G5" s="17"/>
      <x:c r="H5" s="17"/>
    </x:row>
    <x:row r="6" ht="24" customHeight="1">
      <x:c r="A6" s="11" t="str">
        <x:v>P1 重大风险</x:v>
      </x:c>
      <x:c r="B6" s="13" t="n">
        <x:f>COUNTIF('关键风险'!$C$5:$C$100,"P1 重大")</x:f>
        <x:v>8</x:v>
      </x:c>
      <x:c r="D6" s="17" t="str">
        <x:v>2. 补交真实 BMS PCB/Gerber/BOM/CPL/叠层</x:v>
      </x:c>
      <x:c r="E6" s="17"/>
      <x:c r="F6" s="17"/>
      <x:c r="G6" s="17"/>
      <x:c r="H6" s="17"/>
    </x:row>
    <x:row r="7" ht="24" customHeight="1">
      <x:c r="A7" s="11" t="str">
        <x:v>P2 中等风险</x:v>
      </x:c>
      <x:c r="B7" s="13" t="n">
        <x:f>COUNTIF('关键风险'!$C$5:$C$100,"P2 中等")</x:f>
        <x:v>3</x:v>
      </x:c>
      <x:c r="D7" s="17" t="str">
        <x:v>3. 修正 TPS16630 R47 并重做 300 W 雷达路径</x:v>
      </x:c>
      <x:c r="E7" s="17"/>
      <x:c r="F7" s="17"/>
      <x:c r="G7" s="17"/>
      <x:c r="H7" s="17"/>
    </x:row>
    <x:row r="8" ht="24" customHeight="1">
      <x:c r="A8" s="11" t="str">
        <x:v>未关闭风险</x:v>
      </x:c>
      <x:c r="B8" s="13" t="n">
        <x:f>COUNTIF('关键风险'!$H$5:$H$100,"未关闭")</x:f>
        <x:v>15</x:v>
      </x:c>
      <x:c r="D8" s="17" t="str">
        <x:v>4. 关闭 U5/U10、天线偏置、CAN 终端 DNP 规则</x:v>
      </x:c>
      <x:c r="E8" s="17"/>
      <x:c r="F8" s="17"/>
      <x:c r="G8" s="17"/>
      <x:c r="H8" s="17"/>
    </x:row>
    <x:row r="9" ht="24" customHeight="1">
      <x:c r="D9" s="17" t="str">
        <x:v>5. 用模拟器完成故障注入后才能接真实电池</x:v>
      </x:c>
      <x:c r="E9" s="17"/>
      <x:c r="F9" s="17"/>
      <x:c r="G9" s="17"/>
      <x:c r="H9" s="17"/>
    </x:row>
    <x:row r="11">
      <x:c r="A11" t="str">
        <x:v>等级</x:v>
      </x:c>
      <x:c r="B11" t="str">
        <x:v>数量</x:v>
      </x:c>
    </x:row>
    <x:row r="12">
      <x:c r="A12" t="str">
        <x:v>P0</x:v>
      </x:c>
      <x:c r="B12" t="n">
        <x:f>B5</x:f>
        <x:v>4</x:v>
      </x:c>
    </x:row>
    <x:row r="13">
      <x:c r="A13" t="str">
        <x:v>P1</x:v>
      </x:c>
      <x:c r="B13" t="n">
        <x:f>B6</x:f>
        <x:v>8</x:v>
      </x:c>
    </x:row>
    <x:row r="14">
      <x:c r="A14" t="str">
        <x:v>P2</x:v>
      </x:c>
      <x:c r="B14" t="n">
        <x:f>B7</x:f>
        <x:v>3</x:v>
      </x:c>
    </x:row>
    <x:row r="16">
      <x:c r="A16" s="8" t="str">
        <x:v>工作表</x:v>
      </x:c>
      <x:c r="B16" s="8" t="str">
        <x:v>用途</x:v>
      </x:c>
    </x:row>
    <x:row r="17">
      <x:c r="A17" s="20" t="str">
        <x:v>关键风险</x:v>
      </x:c>
      <x:c r="B17" s="20" t="str">
        <x:v>整改闭环与责任状态</x:v>
      </x:c>
    </x:row>
    <x:row r="18">
      <x:c r="A18" s="20" t="str">
        <x:v>BMS/主控器件</x:v>
      </x:c>
      <x:c r="B18" s="20" t="str">
        <x:v>逐器件检查与测试</x:v>
      </x:c>
    </x:row>
    <x:row r="19">
      <x:c r="A19" s="20" t="str">
        <x:v>BMS/主控测试矩阵</x:v>
      </x:c>
      <x:c r="B19" s="20" t="str">
        <x:v>现场执行、结果与签名</x:v>
      </x:c>
    </x:row>
    <x:row r="20">
      <x:c r="A20" s="20" t="str">
        <x:v>3S2P接线</x:v>
      </x:c>
      <x:c r="B20" s="20" t="str">
        <x:v>线束节点与插拔顺序</x:v>
      </x:c>
    </x:row>
    <x:row r="21">
      <x:c r="A21" s="21" t="str">
        <x:v>电源预算</x:v>
      </x:c>
      <x:c r="B21" s="21" t="str">
        <x:v>适配器电流的可编辑计算</x:v>
      </x:c>
    </x:row>
  </x:sheetData>
  <x:mergeCells>
    <x:mergeCell ref="A1:H1"/>
    <x:mergeCell ref="A2:H2"/>
    <x:mergeCell ref="D4:H4"/>
    <x:mergeCell ref="D5:H5"/>
    <x:mergeCell ref="D6:H6"/>
    <x:mergeCell ref="D7:H7"/>
    <x:mergeCell ref="D8:H8"/>
    <x:mergeCell ref="D9:H9"/>
  </x:mergeCells>
  <x:pageMargins left="0.7" right="0.7" top="0.75" bottom="0.75" header="0.3" footer="0.3"/>
  <x:drawing xmlns:r="http://schemas.openxmlformats.org/officeDocument/2006/relationships" r:id="Rfa112bdf85cd413b"/>
</x:worksheet>
</file>

<file path=xl/worksheets/sheet3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42" hidden="0" customWidth="1"/>
    <x:col min="3" max="3" width="12" hidden="0" customWidth="1"/>
    <x:col min="4" max="4" width="14" hidden="0" customWidth="1"/>
    <x:col min="5" max="5" width="65" hidden="0" customWidth="1"/>
  </x:cols>
  <x:sheetData>
    <x:row r="1" ht="30" customHeight="1">
      <x:c r="A1" s="23" t="str">
        <x:v>输入文件与审查状态</x:v>
      </x:c>
      <x:c r="B1" s="23"/>
      <x:c r="C1" s="23"/>
      <x:c r="D1" s="23"/>
      <x:c r="E1" s="23"/>
    </x:row>
    <x:row r="2" ht="26" customHeight="1">
      <x:c r="A2" s="27" t="str">
        <x:v>BMS PCB PDF 内容与主控 PCB 相同，需补真实生产文件</x:v>
      </x:c>
      <x:c r="B2" s="27"/>
      <x:c r="C2" s="27"/>
      <x:c r="D2" s="27"/>
      <x:c r="E2" s="27"/>
    </x:row>
    <x:row r="4" ht="26" customHeight="1">
      <x:c r="A4" s="31" t="str">
        <x:v>类别</x:v>
      </x:c>
      <x:c r="B4" s="31" t="str">
        <x:v>文件</x:v>
      </x:c>
      <x:c r="C4" s="31" t="str">
        <x:v>页/格式</x:v>
      </x:c>
      <x:c r="D4" s="31" t="str">
        <x:v>状态</x:v>
      </x:c>
      <x:c r="E4" s="31" t="str">
        <x:v>用途/发现</x:v>
      </x:c>
    </x:row>
    <x:row r="5">
      <x:c r="A5" s="50" t="str">
        <x:v>BMS 原理图</x:v>
      </x:c>
      <x:c r="B5" s="51" t="str">
        <x:v>BMS_Schematic1_2026-07-27.pdf</x:v>
      </x:c>
      <x:c r="C5" s="51" t="str">
        <x:v>1 页</x:v>
      </x:c>
      <x:c r="D5" s="51" t="str">
        <x:v>已解析</x:v>
      </x:c>
      <x:c r="E5" s="52" t="str">
        <x:v>BQ7692003PWR、保护 MOS、采样及均衡电路</x:v>
      </x:c>
    </x:row>
    <x:row r="6">
      <x:c r="A6" s="65" t="str">
        <x:v>BMS PCB</x:v>
      </x:c>
      <x:c r="B6" s="66" t="str">
        <x:v>BMS_PCB1_2026-08-02.pdf</x:v>
      </x:c>
      <x:c r="C6" s="66" t="str">
        <x:v>6 页</x:v>
      </x:c>
      <x:c r="D6" s="66" t="str">
        <x:v>阻断</x:v>
      </x:c>
      <x:c r="E6" s="67" t="str">
        <x:v>内容与主控 PCB 导出实质相同，不能作为 BMS PCB 审查依据</x:v>
      </x:c>
    </x:row>
    <x:row r="7">
      <x:c r="A7" s="53" t="str">
        <x:v>BMS 现有 SOP</x:v>
      </x:c>
      <x:c r="B7" s="54" t="str">
        <x:v>BQ76920_3S2P_BMS首板调试测试SOP详细版.docx</x:v>
      </x:c>
      <x:c r="C7" s="54" t="str">
        <x:v>DOCX</x:v>
      </x:c>
      <x:c r="D7" s="54" t="str">
        <x:v>已评审</x:v>
      </x:c>
      <x:c r="E7" s="55" t="str">
        <x:v>部分步骤需按本报告修订，尤其是 3S 节点和单电源上电</x:v>
      </x:c>
    </x:row>
    <x:row r="8">
      <x:c r="A8" s="62" t="str">
        <x:v>主控原理图</x:v>
      </x:c>
      <x:c r="B8" s="63" t="str">
        <x:v>主pcb原理图.pdf</x:v>
      </x:c>
      <x:c r="C8" s="63" t="str">
        <x:v>4 页</x:v>
      </x:c>
      <x:c r="D8" s="63" t="str">
        <x:v>已解析</x:v>
      </x:c>
      <x:c r="E8" s="64" t="str">
        <x:v>电源、STM32/CAN、UM982、MTi-3</x:v>
      </x:c>
    </x:row>
    <x:row r="9">
      <x:c r="A9" s="53" t="str">
        <x:v>主控 PCB</x:v>
      </x:c>
      <x:c r="B9" s="54" t="str">
        <x:v>主PCB板_PCB1_2026-08-03.pdf</x:v>
      </x:c>
      <x:c r="C9" s="54" t="str">
        <x:v>6 页</x:v>
      </x:c>
      <x:c r="D9" s="54" t="str">
        <x:v>已审阅</x:v>
      </x:c>
      <x:c r="E9" s="55" t="str">
        <x:v>仅为 PDF 视图，缺少 Gerber/钻孔/叠层/坐标</x:v>
      </x:c>
    </x:row>
    <x:row r="10">
      <x:c r="A10" s="71" t="str">
        <x:v>主控现有 SOP</x:v>
      </x:c>
      <x:c r="B10" s="72" t="str">
        <x:v>SLAM主控PCB首板测试SOP_V1.0.docx</x:v>
      </x:c>
      <x:c r="C10" s="72" t="str">
        <x:v>DOCX</x:v>
      </x:c>
      <x:c r="D10" s="72" t="str">
        <x:v>已评审</x:v>
      </x:c>
      <x:c r="E10" s="73" t="str">
        <x:v>可作为框架，需增加量化阈值、DNP、故障注入和记录字段</x:v>
      </x:c>
    </x:row>
  </x:sheetData>
  <x:mergeCells>
    <x:mergeCell ref="A1:E1"/>
    <x:mergeCell ref="A2:E2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4" hidden="0" customWidth="1"/>
    <x:col min="3" max="3" width="36" hidden="0" customWidth="1"/>
    <x:col min="4" max="4" width="38" hidden="0" customWidth="1"/>
    <x:col min="5" max="5" width="48" hidden="0" customWidth="1"/>
    <x:col min="6" max="6" width="34" hidden="0" customWidth="1"/>
  </x:cols>
  <x:sheetData>
    <x:row r="1" ht="30" customHeight="1">
      <x:c r="A1" s="23" t="str">
        <x:v>BMS 全器件检查与测试</x:v>
      </x:c>
      <x:c r="B1" s="23"/>
      <x:c r="C1" s="23"/>
      <x:c r="D1" s="23"/>
      <x:c r="E1" s="23"/>
      <x:c r="F1" s="23"/>
    </x:row>
    <x:row r="2" ht="26" customHeight="1">
      <x:c r="A2" s="27" t="str">
        <x:v>相同数值/功能合并但保留全部参考标号；最终 BOM 必须逐行带 MPN/封装/精度/耐压</x:v>
      </x:c>
      <x:c r="B2" s="27"/>
      <x:c r="C2" s="27"/>
      <x:c r="D2" s="27"/>
      <x:c r="E2" s="27"/>
      <x:c r="F2" s="27"/>
    </x:row>
    <x:row r="4" ht="26" customHeight="1">
      <x:c r="A4" s="31" t="str">
        <x:v>参考标号</x:v>
      </x:c>
      <x:c r="B4" s="31" t="str">
        <x:v>器件/数值</x:v>
      </x:c>
      <x:c r="C4" s="31" t="str">
        <x:v>功能</x:v>
      </x:c>
      <x:c r="D4" s="31" t="str">
        <x:v>断电检查</x:v>
      </x:c>
      <x:c r="E4" s="31" t="str">
        <x:v>上电/功能测试</x:v>
      </x:c>
      <x:c r="F4" s="31" t="str">
        <x:v>注意</x:v>
      </x:c>
    </x:row>
    <x:row r="5">
      <x:c r="A5" s="92" t="str">
        <x:v>U1</x:v>
      </x:c>
      <x:c r="B5" s="93" t="str">
        <x:v>BQ7692003PWR</x:v>
      </x:c>
      <x:c r="C5" s="93" t="str">
        <x:v>3-5 串电芯监测/保护 AFE，I2C+CRC，REGOUT 3.3 V</x:v>
      </x:c>
      <x:c r="D5" s="93" t="str">
        <x:v>确认 VC 重映射、BAT/REGSRC 去耦、焊盘桥连</x:v>
      </x:c>
      <x:c r="E5" s="93" t="str">
        <x:v>REGOUT 3.3 V；地址 0x08；写 CC_CFG=0x19；读取各节与温度</x:v>
      </x:c>
      <x:c r="F5" s="94" t="str">
        <x:v>真实电芯上电前必须关闭 R-01</x:v>
      </x:c>
    </x:row>
    <x:row r="6">
      <x:c r="A6" s="101" t="str">
        <x:v>Q1,Q2,Q3</x:v>
      </x:c>
      <x:c r="B6" s="102" t="str">
        <x:v>AO3400A</x:v>
      </x:c>
      <x:c r="C6" s="102" t="str">
        <x:v>外部被动均衡支路开关</x:v>
      </x:c>
      <x:c r="D6" s="102" t="str">
        <x:v>核对 G/D/S 方向和栅极阻值，确认未误焊</x:v>
      </x:c>
      <x:c r="E6" s="102" t="str">
        <x:v>逐路开启，目标电芯压降/电阻温升符合设计；不得相邻通道同时长开</x:v>
      </x:c>
      <x:c r="F6" s="103" t="str">
        <x:v>VC 重映射后必须同步重映射均衡</x:v>
      </x:c>
    </x:row>
    <x:row r="7">
      <x:c r="A7" s="95" t="str">
        <x:v>Q4</x:v>
      </x:c>
      <x:c r="B7" s="96" t="str">
        <x:v>BSS84</x:v>
      </x:c>
      <x:c r="C7" s="96" t="str">
        <x:v>CHG 栅极驱动/电平处理</x:v>
      </x:c>
      <x:c r="D7" s="96" t="str">
        <x:v>二极管档排除击穿，核对 P-MOS 方向</x:v>
      </x:c>
      <x:c r="E7" s="96" t="str">
        <x:v>CHG 开关动作时栅源电压和输出极性正确</x:v>
      </x:c>
      <x:c r="F7" s="97" t="str">
        <x:v>记录 VGS 最大值</x:v>
      </x:c>
    </x:row>
    <x:row r="8">
      <x:c r="A8" s="101" t="str">
        <x:v>Q5</x:v>
      </x:c>
      <x:c r="B8" s="102" t="str">
        <x:v>AOD403</x:v>
      </x:c>
      <x:c r="C8" s="102" t="str">
        <x:v>电池正端路径保护/反接控制</x:v>
      </x:c>
      <x:c r="D8" s="102" t="str">
        <x:v>核对封装散热焊盘和方向</x:v>
      </x:c>
      <x:c r="E8" s="102" t="str">
        <x:v>小电流下测导通压降，反接/关断时不导通</x:v>
      </x:c>
      <x:c r="F8" s="103" t="str">
        <x:v>先限流，禁止直接大电流</x:v>
      </x:c>
    </x:row>
    <x:row r="9">
      <x:c r="A9" s="104" t="str">
        <x:v>Q6,Q7</x:v>
      </x:c>
      <x:c r="B9" s="105" t="str">
        <x:v>HY3210B</x:v>
      </x:c>
      <x:c r="C9" s="105" t="str">
        <x:v>低侧背靠背充/放电 MOS</x:v>
      </x:c>
      <x:c r="D9" s="105" t="str">
        <x:v>检查 Source-Source/Drain 方向、栅极无短路</x:v>
      </x:c>
      <x:c r="E9" s="105" t="str">
        <x:v>分别验证 CHG/DSG 导通、关断、反向阻断和压降</x:v>
      </x:c>
      <x:c r="F9" s="106" t="str">
        <x:v>大电流测试需热像与 Kelvin 压降</x:v>
      </x:c>
    </x:row>
    <x:row r="10">
      <x:c r="A10" s="101" t="str">
        <x:v>R25</x:v>
      </x:c>
      <x:c r="B10" s="102" t="str">
        <x:v>2 mΩ 分流器</x:v>
      </x:c>
      <x:c r="C10" s="102" t="str">
        <x:v>电流采样</x:v>
      </x:c>
      <x:c r="D10" s="102" t="str">
        <x:v>四线测量焊接和阻值，检查 Kelvin 走线</x:v>
      </x:c>
      <x:c r="E10" s="102" t="str">
        <x:v>0.5/1/2 A 标定 SRP-SRN；误差、零漂符合目标</x:v>
      </x:c>
      <x:c r="F10" s="103" t="str">
        <x:v>真实 BMS PCB 缺失，版图无法审查</x:v>
      </x:c>
    </x:row>
    <x:row r="11">
      <x:c r="A11" s="95" t="str">
        <x:v>F1</x:v>
      </x:c>
      <x:c r="B11" s="96" t="str">
        <x:v>BSMD2410C-2200T</x:v>
      </x:c>
      <x:c r="C11" s="96" t="str">
        <x:v>输入自恢复保险/过流保护</x:v>
      </x:c>
      <x:c r="D11" s="96" t="str">
        <x:v>核对供应商曲线、额定电压、保持/动作电流</x:v>
      </x:c>
      <x:c r="E11" s="96" t="str">
        <x:v>阶梯负载测温，不做破坏性跳闸于首板</x:v>
      </x:c>
      <x:c r="F11" s="97" t="str">
        <x:v>型号电流含义必须由 BOM/数据手册确认</x:v>
      </x:c>
    </x:row>
    <x:row r="12">
      <x:c r="A12" s="101" t="str">
        <x:v>D1,D2,D4,D7,D8,D11</x:v>
      </x:c>
      <x:c r="B12" s="102" t="str">
        <x:v>1N4148WS</x:v>
      </x:c>
      <x:c r="C12" s="102" t="str">
        <x:v>栅极/钳位/信号路径</x:v>
      </x:c>
      <x:c r="D12" s="102" t="str">
        <x:v>核对极性和漏焊</x:v>
      </x:c>
      <x:c r="E12" s="102" t="str">
        <x:v>相关 CHG/DSG/均衡节点切换时波形正确</x:v>
      </x:c>
      <x:c r="F12" s="103" t="str">
        <x:v>AOI 重点项</x:v>
      </x:c>
    </x:row>
    <x:row r="13">
      <x:c r="A13" s="95" t="str">
        <x:v>D3,D5,D6</x:v>
      </x:c>
      <x:c r="B13" s="96" t="str">
        <x:v>SMF5.0A</x:v>
      </x:c>
      <x:c r="C13" s="96" t="str">
        <x:v>低压瞬态钳位</x:v>
      </x:c>
      <x:c r="D13" s="96" t="str">
        <x:v>核对方向、对地无短路</x:v>
      </x:c>
      <x:c r="E13" s="96" t="str">
        <x:v>仅做功能静态检查；浪涌需专门样机</x:v>
      </x:c>
      <x:c r="F13" s="97" t="str">
        <x:v>确认工作电压不会持续钳位</x:v>
      </x:c>
    </x:row>
    <x:row r="14">
      <x:c r="A14" s="101" t="str">
        <x:v>D9</x:v>
      </x:c>
      <x:c r="B14" s="102" t="str">
        <x:v>BAV99</x:v>
      </x:c>
      <x:c r="C14" s="102" t="str">
        <x:v>双二极管信号钳位</x:v>
      </x:c>
      <x:c r="D14" s="102" t="str">
        <x:v>二极管档检查</x:v>
      </x:c>
      <x:c r="E14" s="102" t="str">
        <x:v>唤醒/温度网络切换正常</x:v>
      </x:c>
      <x:c r="F14" s="103" t="str">
        <x:v>核对封装引脚序</x:v>
      </x:c>
    </x:row>
    <x:row r="15">
      <x:c r="A15" s="95" t="str">
        <x:v>D10,D12</x:v>
      </x:c>
      <x:c r="B15" s="96" t="str">
        <x:v>SMAJ16A</x:v>
      </x:c>
      <x:c r="C15" s="96" t="str">
        <x:v>母线瞬态抑制</x:v>
      </x:c>
      <x:c r="D15" s="96" t="str">
        <x:v>核对极性和反向漏电</x:v>
      </x:c>
      <x:c r="E15" s="96" t="str">
        <x:v>12.6 V 母线不应导通发热；浪涌另行验证</x:v>
      </x:c>
      <x:c r="F15" s="97" t="str">
        <x:v>16 V TVS 容差/钳位与 3S 充满电裕量需复核</x:v>
      </x:c>
    </x:row>
    <x:row r="16">
      <x:c r="A16" s="101" t="str">
        <x:v>LED1</x:v>
      </x:c>
      <x:c r="B16" s="102" t="str">
        <x:v>NCD0603G1</x:v>
      </x:c>
      <x:c r="C16" s="102" t="str">
        <x:v>状态指示</x:v>
      </x:c>
      <x:c r="D16" s="102" t="str">
        <x:v>核对极性</x:v>
      </x:c>
      <x:c r="E16" s="102" t="str">
        <x:v>唤醒/状态下亮灭符合固件</x:v>
      </x:c>
      <x:c r="F16" s="103" t="str">
        <x:v>限流电阻为 R8</x:v>
      </x:c>
    </x:row>
    <x:row r="17">
      <x:c r="A17" s="95" t="str">
        <x:v>SW1</x:v>
      </x:c>
      <x:c r="B17" s="96" t="str">
        <x:v>TS-1102S-C-C-B</x:v>
      </x:c>
      <x:c r="C17" s="96" t="str">
        <x:v>TS1 唤醒按钮</x:v>
      </x:c>
      <x:c r="D17" s="96" t="str">
        <x:v>通断和回弹检查</x:v>
      </x:c>
      <x:c r="E17" s="96" t="str">
        <x:v>按键使 TS1 超过启动阈值，器件约 10 ms 后就绪</x:v>
      </x:c>
      <x:c r="F17" s="97" t="str">
        <x:v>禁止把按键当安全关机</x:v>
      </x:c>
    </x:row>
    <x:row r="18">
      <x:c r="A18" s="101" t="str">
        <x:v>CN1</x:v>
      </x:c>
      <x:c r="B18" s="102" t="str">
        <x:v>XH-5AW</x:v>
      </x:c>
      <x:c r="C18" s="102" t="str">
        <x:v>电芯采样：1=B-,2=B1,3=B2,4=B+,5=NC</x:v>
      </x:c>
      <x:c r="D18" s="102" t="str">
        <x:v>丝印、针序、锁扣方向、线束颜色逐项核对</x:v>
      </x:c>
      <x:c r="E18" s="102" t="str">
        <x:v>插入前逐针测相邻电压；顺序 B-→B1→B2→B+</x:v>
      </x:c>
      <x:c r="F18" s="103" t="str">
        <x:v>当前 VC 原理图必须先改</x:v>
      </x:c>
    </x:row>
    <x:row r="19">
      <x:c r="A19" s="95" t="str">
        <x:v>CN2</x:v>
      </x:c>
      <x:c r="B19" s="96" t="str">
        <x:v>XT60PW-M</x:v>
      </x:c>
      <x:c r="C19" s="96" t="str">
        <x:v>原始电池包高电流输入 VBAT_IN/BAT_MINUS</x:v>
      </x:c>
      <x:c r="D19" s="96" t="str">
        <x:v>极性、焊盘、机械强度、铜厚</x:v>
      </x:c>
      <x:c r="E19" s="96" t="str">
        <x:v>小电流导通与压降；之后分级电流测试</x:v>
      </x:c>
      <x:c r="F19" s="97" t="str">
        <x:v>正负主线需靠近电芯端配置合适保护</x:v>
      </x:c>
    </x:row>
    <x:row r="20">
      <x:c r="A20" s="101" t="str">
        <x:v>CN3</x:v>
      </x:c>
      <x:c r="B20" s="102" t="str">
        <x:v>XT30PW-M30</x:v>
      </x:c>
      <x:c r="C20" s="102" t="str">
        <x:v>受保护输出 VBAT+/GND_DC 至主控板</x:v>
      </x:c>
      <x:c r="D20" s="102" t="str">
        <x:v>极性、绝缘距离、焊接填充</x:v>
      </x:c>
      <x:c r="E20" s="102" t="str">
        <x:v>MOS 导通后电压等于包电压，关断后被隔离</x:v>
      </x:c>
      <x:c r="F20" s="103" t="str">
        <x:v>不要与 CN2 混用</x:v>
      </x:c>
    </x:row>
    <x:row r="21">
      <x:c r="A21" s="95" t="str">
        <x:v>H1</x:v>
      </x:c>
      <x:c r="B21" s="96" t="str">
        <x:v>1x5 2.54 mm</x:v>
      </x:c>
      <x:c r="C21" s="96" t="str">
        <x:v>GND、SCL、SDA、WAKEUP、ALERT</x:v>
      </x:c>
      <x:c r="D21" s="96" t="str">
        <x:v>防反插、引脚序和 GND 连续性</x:v>
      </x:c>
      <x:c r="E21" s="96" t="str">
        <x:v>I2C 上拉、电平、ALERT、WAKEUP 联调</x:v>
      </x:c>
      <x:c r="F21" s="97" t="str">
        <x:v>与主控 H1 一一对应</x:v>
      </x:c>
    </x:row>
    <x:row r="22">
      <x:c r="A22" s="101" t="str">
        <x:v>J_TEMP</x:v>
      </x:c>
      <x:c r="B22" s="102" t="str">
        <x:v>XH2.54 2P</x:v>
      </x:c>
      <x:c r="C22" s="102" t="str">
        <x:v>外接 NTC 至 TS1</x:v>
      </x:c>
      <x:c r="D22" s="102" t="str">
        <x:v>NTC 型号/B 值/线束开短路</x:v>
      </x:c>
      <x:c r="E22" s="102" t="str">
        <x:v>室温换算、加热/冷却、开路/短路故障</x:v>
      </x:c>
      <x:c r="F22" s="103" t="str">
        <x:v>NTC 参数需在固件中一致</x:v>
      </x:c>
    </x:row>
    <x:row r="23">
      <x:c r="A23" s="95" t="str">
        <x:v>R1,R5,R9,R13,R15,R16,R18</x:v>
      </x:c>
      <x:c r="B23" s="96" t="str">
        <x:v>10 kΩ</x:v>
      </x:c>
      <x:c r="C23" s="96" t="str">
        <x:v>偏置/上拉/驱动</x:v>
      </x:c>
      <x:c r="D23" s="96" t="str">
        <x:v>阻值和焊接</x:v>
      </x:c>
      <x:c r="E23" s="96" t="str">
        <x:v>相关节点静态电压正确</x:v>
      </x:c>
      <x:c r="F23" s="97" t="str">
        <x:v>按网络逐点记录</x:v>
      </x:c>
    </x:row>
    <x:row r="24">
      <x:c r="A24" s="101" t="str">
        <x:v>R2,R6,R11</x:v>
      </x:c>
      <x:c r="B24" s="102" t="str">
        <x:v>68 Ω</x:v>
      </x:c>
      <x:c r="C24" s="102" t="str">
        <x:v>均衡/栅极限流</x:v>
      </x:c>
      <x:c r="D24" s="102" t="str">
        <x:v>阻值和均衡支路连续性</x:v>
      </x:c>
      <x:c r="E24" s="102" t="str">
        <x:v>均衡开启波形无振铃/过热</x:v>
      </x:c>
      <x:c r="F24" s="103" t="str">
        <x:v>需与新 VC 映射复核</x:v>
      </x:c>
    </x:row>
    <x:row r="25">
      <x:c r="A25" s="95" t="str">
        <x:v>R3,R7,R8,R10,R14,R17</x:v>
      </x:c>
      <x:c r="B25" s="96" t="str">
        <x:v>1 kΩ</x:v>
      </x:c>
      <x:c r="C25" s="96" t="str">
        <x:v>栅极/LED/信号限流</x:v>
      </x:c>
      <x:c r="D25" s="96" t="str">
        <x:v>阻值核对</x:v>
      </x:c>
      <x:c r="E25" s="96" t="str">
        <x:v>开关波形和 LED 电流合理</x:v>
      </x:c>
      <x:c r="F25" s="97" t="str">
        <x:v>逐参考标号核对</x:v>
      </x:c>
    </x:row>
    <x:row r="26">
      <x:c r="A26" s="101" t="str">
        <x:v>R4,R20,R21</x:v>
      </x:c>
      <x:c r="B26" s="102" t="str">
        <x:v>100 Ω</x:v>
      </x:c>
      <x:c r="C26" s="102" t="str">
        <x:v>采样/驱动串阻</x:v>
      </x:c>
      <x:c r="D26" s="102" t="str">
        <x:v>阻值与 Kelvin 网络</x:v>
      </x:c>
      <x:c r="E26" s="102" t="str">
        <x:v>采样误差和瞬态滤波符合预期</x:v>
      </x:c>
      <x:c r="F26" s="103" t="str">
        <x:v>不要用大电流回流穿过采样地</x:v>
      </x:c>
    </x:row>
    <x:row r="27">
      <x:c r="A27" s="95" t="str">
        <x:v>R12,R19,R23,R24</x:v>
      </x:c>
      <x:c r="B27" s="96" t="str">
        <x:v>1 MΩ</x:v>
      </x:c>
      <x:c r="C27" s="96" t="str">
        <x:v>高阻偏置/泄放</x:v>
      </x:c>
      <x:c r="D27" s="96" t="str">
        <x:v>污染、助焊剂残留和阻值</x:v>
      </x:c>
      <x:c r="E27" s="96" t="str">
        <x:v>关断状态漏电与电压恢复</x:v>
      </x:c>
      <x:c r="F27" s="97" t="str">
        <x:v>清洗后再测高阻</x:v>
      </x:c>
    </x:row>
    <x:row r="28">
      <x:c r="A28" s="101" t="str">
        <x:v>R22</x:v>
      </x:c>
      <x:c r="B28" s="102" t="str">
        <x:v>6.8 kΩ</x:v>
      </x:c>
      <x:c r="C28" s="102" t="str">
        <x:v>TS1/NTC 分压</x:v>
      </x:c>
      <x:c r="D28" s="102" t="str">
        <x:v>阻值</x:v>
      </x:c>
      <x:c r="E28" s="102" t="str">
        <x:v>温度 ADC 全温区标定</x:v>
      </x:c>
      <x:c r="F28" s="103" t="str">
        <x:v>与 NTC B 值联动</x:v>
      </x:c>
    </x:row>
    <x:row r="29">
      <x:c r="A29" s="95" t="str">
        <x:v>R26</x:v>
      </x:c>
      <x:c r="B29" s="96" t="str">
        <x:v>0 Ω</x:v>
      </x:c>
      <x:c r="C29" s="96" t="str">
        <x:v>CELL0_P 到 BAT_MINUS 配置</x:v>
      </x:c>
      <x:c r="D29" s="96" t="str">
        <x:v>连续性和回流路径</x:v>
      </x:c>
      <x:c r="E29" s="96" t="str">
        <x:v>B- 参考稳定</x:v>
      </x:c>
      <x:c r="F29" s="97" t="str">
        <x:v>不得被大电流压降污染</x:v>
      </x:c>
    </x:row>
    <x:row r="30">
      <x:c r="A30" s="101" t="str">
        <x:v>C1,C2,C7,C9</x:v>
      </x:c>
      <x:c r="B30" s="102" t="str">
        <x:v>220 nF</x:v>
      </x:c>
      <x:c r="C30" s="102" t="str">
        <x:v>电芯输入滤波</x:v>
      </x:c>
      <x:c r="D30" s="102" t="str">
        <x:v>容量/耐压/短路</x:v>
      </x:c>
      <x:c r="E30" s="102" t="str">
        <x:v>各节读数稳定，阶跃响应无异常</x:v>
      </x:c>
      <x:c r="F30" s="103" t="str">
        <x:v>位置需靠近 U1，真实 PCB 待审</x:v>
      </x:c>
    </x:row>
    <x:row r="31">
      <x:c r="A31" s="95" t="str">
        <x:v>C3</x:v>
      </x:c>
      <x:c r="B31" s="96" t="str">
        <x:v>4.7 nF</x:v>
      </x:c>
      <x:c r="C31" s="96" t="str">
        <x:v>SRP/SRN 差分滤波</x:v>
      </x:c>
      <x:c r="D31" s="96" t="str">
        <x:v>容量和对称布置</x:v>
      </x:c>
      <x:c r="E31" s="96" t="str">
        <x:v>电流读数噪声和带宽</x:v>
      </x:c>
      <x:c r="F31" s="97" t="str">
        <x:v>Kelvin 走线关键</x:v>
      </x:c>
    </x:row>
    <x:row r="32">
      <x:c r="A32" s="107" t="str">
        <x:v>C4</x:v>
      </x:c>
      <x:c r="B32" s="108" t="str">
        <x:v>1 µF</x:v>
      </x:c>
      <x:c r="C32" s="108" t="str">
        <x:v>CAP1 去耦</x:v>
      </x:c>
      <x:c r="D32" s="108" t="str">
        <x:v>容量/极性如适用</x:v>
      </x:c>
      <x:c r="E32" s="108" t="str">
        <x:v>CAP1 电压符合数据手册</x:v>
      </x:c>
      <x:c r="F32" s="109" t="str">
        <x:v>贴近 U1</x:v>
      </x:c>
    </x:row>
    <x:row r="33">
      <x:c r="A33" s="95" t="str">
        <x:v>C5</x:v>
      </x:c>
      <x:c r="B33" s="96" t="str">
        <x:v>2.2 µF</x:v>
      </x:c>
      <x:c r="C33" s="96" t="str">
        <x:v>REGOUT 去耦</x:v>
      </x:c>
      <x:c r="D33" s="96" t="str">
        <x:v>容量/ESR</x:v>
      </x:c>
      <x:c r="E33" s="96" t="str">
        <x:v>3.3 V 稳定、启动无振荡</x:v>
      </x:c>
      <x:c r="F33" s="97" t="str">
        <x:v>贴近 U1</x:v>
      </x:c>
    </x:row>
    <x:row r="34">
      <x:c r="A34" s="101" t="str">
        <x:v>C6</x:v>
      </x:c>
      <x:c r="B34" s="102" t="str">
        <x:v>4.7 µF</x:v>
      </x:c>
      <x:c r="C34" s="102" t="str">
        <x:v>BAT/REGSRC 去耦</x:v>
      </x:c>
      <x:c r="D34" s="102" t="str">
        <x:v>耐压和短路</x:v>
      </x:c>
      <x:c r="E34" s="102" t="str">
        <x:v>启动与负载阶跃无掉压</x:v>
      </x:c>
      <x:c r="F34" s="103" t="str">
        <x:v>额定电压需覆盖 3S 瞬态</x:v>
      </x:c>
    </x:row>
    <x:row r="35">
      <x:c r="A35" s="95" t="str">
        <x:v>C8</x:v>
      </x:c>
      <x:c r="B35" s="96" t="str">
        <x:v>470 pF</x:v>
      </x:c>
      <x:c r="C35" s="96" t="str">
        <x:v>电流采样滤波</x:v>
      </x:c>
      <x:c r="D35" s="96" t="str">
        <x:v>容量</x:v>
      </x:c>
      <x:c r="E35" s="96" t="str">
        <x:v>噪声/延迟符合保护需求</x:v>
      </x:c>
      <x:c r="F35" s="97" t="str">
        <x:v>不得随意增大</x:v>
      </x:c>
    </x:row>
    <x:row r="36">
      <x:c r="A36" s="110" t="str">
        <x:v>C10,C11,C12,C13,C14,C15</x:v>
      </x:c>
      <x:c r="B36" s="111" t="str">
        <x:v>100 nF</x:v>
      </x:c>
      <x:c r="C36" s="111" t="str">
        <x:v>驱动/母线局部去耦</x:v>
      </x:c>
      <x:c r="D36" s="111" t="str">
        <x:v>短路、容量、位置</x:v>
      </x:c>
      <x:c r="E36" s="111" t="str">
        <x:v>开关瞬态和栅极波形</x:v>
      </x:c>
      <x:c r="F36" s="112" t="str">
        <x:v>真实 PCB 待审</x:v>
      </x:c>
    </x:row>
  </x:sheetData>
  <x:mergeCells>
    <x:mergeCell ref="A1:F1"/>
    <x:mergeCell ref="A2:F2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30" hidden="0" customWidth="1"/>
    <x:col min="3" max="3" width="34" hidden="0" customWidth="1"/>
    <x:col min="4" max="4" width="38" hidden="0" customWidth="1"/>
    <x:col min="5" max="5" width="50" hidden="0" customWidth="1"/>
    <x:col min="6" max="6" width="36" hidden="0" customWidth="1"/>
  </x:cols>
  <x:sheetData>
    <x:row r="1" ht="30" customHeight="1">
      <x:c r="A1" s="23" t="str">
        <x:v>主控载板全器件检查与测试</x:v>
      </x:c>
      <x:c r="B1" s="23"/>
      <x:c r="C1" s="23"/>
      <x:c r="D1" s="23"/>
      <x:c r="E1" s="23"/>
      <x:c r="F1" s="23"/>
    </x:row>
    <x:row r="2" ht="26" customHeight="1">
      <x:c r="A2" s="27" t="str">
        <x:v>覆盖电源、保护、STM32/CAN、UM982、PPS、MTi-3 和连接器</x:v>
      </x:c>
      <x:c r="B2" s="27"/>
      <x:c r="C2" s="27"/>
      <x:c r="D2" s="27"/>
      <x:c r="E2" s="27"/>
      <x:c r="F2" s="27"/>
    </x:row>
    <x:row r="4" ht="26" customHeight="1">
      <x:c r="A4" s="31" t="str">
        <x:v>参考标号</x:v>
      </x:c>
      <x:c r="B4" s="31" t="str">
        <x:v>器件/网络</x:v>
      </x:c>
      <x:c r="C4" s="31" t="str">
        <x:v>功能</x:v>
      </x:c>
      <x:c r="D4" s="31" t="str">
        <x:v>断电检查</x:v>
      </x:c>
      <x:c r="E4" s="31" t="str">
        <x:v>上电/功能测试</x:v>
      </x:c>
      <x:c r="F4" s="31" t="str">
        <x:v>注意</x:v>
      </x:c>
    </x:row>
    <x:row r="5">
      <x:c r="A5" s="92" t="str">
        <x:v>U5</x:v>
      </x:c>
      <x:c r="B5" s="93" t="str">
        <x:v>DCDC_5V3A 成品模块</x:v>
      </x:c>
      <x:c r="C5" s="93" t="str">
        <x:v>VBAT 到 5V_SYS</x:v>
      </x:c>
      <x:c r="D5" s="93" t="str">
        <x:v>确认模块型号、输入范围、极性和 DNP 关系</x:v>
      </x:c>
      <x:c r="E5" s="93" t="str">
        <x:v>空载 5 V；0.1/0.5/1/3 A 负载阶跃与温升</x:v>
      </x:c>
      <x:c r="F5" s="94" t="str">
        <x:v>与 U10 不得互相回灌</x:v>
      </x:c>
    </x:row>
    <x:row r="6">
      <x:c r="A6" s="101" t="str">
        <x:v>U10,L5,D11,C38,C39,R15,R17,R49,R50,C40</x:v>
      </x:c>
      <x:c r="B6" s="102" t="str">
        <x:v>TPS5430 5 V Buck 网络</x:v>
      </x:c>
      <x:c r="C6" s="102" t="str">
        <x:v>离散 5 V 电源备选</x:v>
      </x:c>
      <x:c r="D6" s="102" t="str">
        <x:v>核对反馈、BOOT、二极管方向、15 µH 与 220 µF 额定值</x:v>
      </x:c>
      <x:c r="E6" s="102" t="str">
        <x:v>输出、纹波、启动、负载阶跃、短路恢复、热测试</x:v>
      </x:c>
      <x:c r="F6" s="103" t="str">
        <x:v>必须发布明确装配变体；反馈值需复算</x:v>
      </x:c>
    </x:row>
    <x:row r="7">
      <x:c r="A7" s="95" t="str">
        <x:v>U4,U6,U7</x:v>
      </x:c>
      <x:c r="B7" s="96" t="str">
        <x:v>TPS7A8101DRBT</x:v>
      </x:c>
      <x:c r="C7" s="96" t="str">
        <x:v>分别生成 3V3_RTK/IMU/MCU</x:v>
      </x:c>
      <x:c r="D7" s="96" t="str">
        <x:v>EP 焊接、31.6k/10k 反馈、EN RC</x:v>
      </x:c>
      <x:c r="E7" s="96" t="str">
        <x:v>3.30 V±3%；纹波、启动先后、1 A 热裕量</x:v>
      </x:c>
      <x:c r="F7" s="97" t="str">
        <x:v>输入/输出电容按数据手册布置</x:v>
      </x:c>
    </x:row>
    <x:row r="8">
      <x:c r="A8" s="101" t="str">
        <x:v>R6,R11,R13</x:v>
      </x:c>
      <x:c r="B8" s="102" t="str">
        <x:v>31.6 kΩ</x:v>
      </x:c>
      <x:c r="C8" s="102" t="str">
        <x:v>LDO 上反馈</x:v>
      </x:c>
      <x:c r="D8" s="102" t="str">
        <x:v>阻值</x:v>
      </x:c>
      <x:c r="E8" s="102" t="str">
        <x:v>输出约 3.33 V</x:v>
      </x:c>
      <x:c r="F8" s="103" t="str">
        <x:v>与 R10/R14/R12 配对</x:v>
      </x:c>
    </x:row>
    <x:row r="9">
      <x:c r="A9" s="95" t="str">
        <x:v>R10,R12,R14</x:v>
      </x:c>
      <x:c r="B9" s="96" t="str">
        <x:v>10 kΩ</x:v>
      </x:c>
      <x:c r="C9" s="96" t="str">
        <x:v>LDO 下反馈</x:v>
      </x:c>
      <x:c r="D9" s="96" t="str">
        <x:v>阻值</x:v>
      </x:c>
      <x:c r="E9" s="96" t="str">
        <x:v>输出约 3.33 V</x:v>
      </x:c>
      <x:c r="F9" s="97" t="str">
        <x:v>逐路核对</x:v>
      </x:c>
    </x:row>
    <x:row r="10">
      <x:c r="A10" s="101" t="str">
        <x:v>C2,C3,C5,C6,C8,C9</x:v>
      </x:c>
      <x:c r="B10" s="102" t="str">
        <x:v>10 µF</x:v>
      </x:c>
      <x:c r="C10" s="102" t="str">
        <x:v>LDO 输入/输出稳定</x:v>
      </x:c>
      <x:c r="D10" s="102" t="str">
        <x:v>容量、耐压、焊接</x:v>
      </x:c>
      <x:c r="E10" s="102" t="str">
        <x:v>负载阶跃不振荡</x:v>
      </x:c>
      <x:c r="F10" s="103" t="str">
        <x:v>贴近器件</x:v>
      </x:c>
    </x:row>
    <x:row r="11">
      <x:c r="A11" s="95" t="str">
        <x:v>C4,C7,C10</x:v>
      </x:c>
      <x:c r="B11" s="96" t="str">
        <x:v>10 nF</x:v>
      </x:c>
      <x:c r="C11" s="96" t="str">
        <x:v>LDO NR 降噪</x:v>
      </x:c>
      <x:c r="D11" s="96" t="str">
        <x:v>容量</x:v>
      </x:c>
      <x:c r="E11" s="96" t="str">
        <x:v>噪声和启动时间</x:v>
      </x:c>
      <x:c r="F11" s="97" t="str">
        <x:v>不要误装 10 µF</x:v>
      </x:c>
    </x:row>
    <x:row r="12">
      <x:c r="A12" s="101" t="str">
        <x:v>R34,R35,R36,C33,C34,C35</x:v>
      </x:c>
      <x:c r="B12" s="102" t="str">
        <x:v>20k/15k/5k + 100 nF</x:v>
      </x:c>
      <x:c r="C12" s="102" t="str">
        <x:v>三路 LDO EN 延时</x:v>
      </x:c>
      <x:c r="D12" s="102" t="str">
        <x:v>阻容值和网络</x:v>
      </x:c>
      <x:c r="E12" s="102" t="str">
        <x:v>示波器记录三路启动时序</x:v>
      </x:c>
      <x:c r="F12" s="103" t="str">
        <x:v>时序需与模块手册确认</x:v>
      </x:c>
    </x:row>
    <x:row r="13">
      <x:c r="A13" s="95" t="str">
        <x:v>CN5</x:v>
      </x:c>
      <x:c r="B13" s="96" t="str">
        <x:v>XT30 输入</x:v>
      </x:c>
      <x:c r="C13" s="96" t="str">
        <x:v>BMS 受保护母线入口</x:v>
      </x:c>
      <x:c r="D13" s="96" t="str">
        <x:v>极性、机械强度、焊接</x:v>
      </x:c>
      <x:c r="E13" s="96" t="str">
        <x:v>12 V 限流上电及压降</x:v>
      </x:c>
      <x:c r="F13" s="97" t="str">
        <x:v>3S 范围约 9-12.6 V</x:v>
      </x:c>
    </x:row>
    <x:row r="14">
      <x:c r="A14" s="101" t="str">
        <x:v>D5</x:v>
      </x:c>
      <x:c r="B14" s="102" t="str">
        <x:v>SMCJ18A</x:v>
      </x:c>
      <x:c r="C14" s="102" t="str">
        <x:v>主母线 TVS</x:v>
      </x:c>
      <x:c r="D14" s="102" t="str">
        <x:v>极性/漏电/额定</x:v>
      </x:c>
      <x:c r="E14" s="102" t="str">
        <x:v>12.6 V 下无明显发热</x:v>
      </x:c>
      <x:c r="F14" s="103" t="str">
        <x:v>钳位与后级绝对最大值需复核</x:v>
      </x:c>
    </x:row>
    <x:row r="15">
      <x:c r="A15" s="95" t="str">
        <x:v>F1,F5</x:v>
      </x:c>
      <x:c r="B15" s="96" t="str">
        <x:v>JFC2410-1500TS</x:v>
      </x:c>
      <x:c r="C15" s="96" t="str">
        <x:v>主/雷达支路保护</x:v>
      </x:c>
      <x:c r="D15" s="96" t="str">
        <x:v>精确料号曲线和保持电流</x:v>
      </x:c>
      <x:c r="E15" s="96" t="str">
        <x:v>额定负载温升</x:v>
      </x:c>
      <x:c r="F15" s="97" t="str">
        <x:v>不可仅由尾号猜电流</x:v>
      </x:c>
    </x:row>
    <x:row r="16">
      <x:c r="A16" s="101" t="str">
        <x:v>F2,F3</x:v>
      </x:c>
      <x:c r="B16" s="102" t="str">
        <x:v>JFC2410-2150TS</x:v>
      </x:c>
      <x:c r="C16" s="102" t="str">
        <x:v>分支保护</x:v>
      </x:c>
      <x:c r="D16" s="102" t="str">
        <x:v>料号与焊接</x:v>
      </x:c>
      <x:c r="E16" s="102" t="str">
        <x:v>额定负载温升</x:v>
      </x:c>
      <x:c r="F16" s="103" t="str">
        <x:v>与线宽/连接器取最小值</x:v>
      </x:c>
    </x:row>
    <x:row r="17">
      <x:c r="A17" s="95" t="str">
        <x:v>F4</x:v>
      </x:c>
      <x:c r="B17" s="96" t="str">
        <x:v>JFC2410-2100TS</x:v>
      </x:c>
      <x:c r="C17" s="96" t="str">
        <x:v>Jetson 支路保护</x:v>
      </x:c>
      <x:c r="D17" s="96" t="str">
        <x:v>料号与焊接</x:v>
      </x:c>
      <x:c r="E17" s="96" t="str">
        <x:v>5V8A 模块输入峰值测试</x:v>
      </x:c>
      <x:c r="F17" s="97" t="str">
        <x:v>需覆盖启动浪涌</x:v>
      </x:c>
    </x:row>
    <x:row r="18">
      <x:c r="A18" s="101" t="str">
        <x:v>FB1,FB2</x:v>
      </x:c>
      <x:c r="B18" s="102" t="str">
        <x:v>BLM31PG601SN1L</x:v>
      </x:c>
      <x:c r="C18" s="102" t="str">
        <x:v>5 V EMI 滤波</x:v>
      </x:c>
      <x:c r="D18" s="102" t="str">
        <x:v>DCR、额定电流、裂纹</x:v>
      </x:c>
      <x:c r="E18" s="102" t="str">
        <x:v>负载下压降与温升</x:v>
      </x:c>
      <x:c r="F18" s="103" t="str">
        <x:v>不要用于承担超额持续电流</x:v>
      </x:c>
    </x:row>
    <x:row r="19">
      <x:c r="A19" s="104" t="str">
        <x:v>U18</x:v>
      </x:c>
      <x:c r="B19" s="105" t="str">
        <x:v>TPS16630PWPR</x:v>
      </x:c>
      <x:c r="C19" s="105" t="str">
        <x:v>雷达支路 eFuse</x:v>
      </x:c>
      <x:c r="D19" s="105" t="str">
        <x:v>EP、UVLO/OVP/ILIM/IMON 网络</x:v>
      </x:c>
      <x:c r="E19" s="105" t="str">
        <x:v>UV约9.1 V、OV约24 V、限流、PGOOD/FLT、热关断</x:v>
      </x:c>
      <x:c r="F19" s="106" t="str">
        <x:v>R47 当前错误；最大约 6 A</x:v>
      </x:c>
    </x:row>
    <x:row r="20">
      <x:c r="A20" s="101" t="str">
        <x:v>R43,R44</x:v>
      </x:c>
      <x:c r="B20" s="102" t="str">
        <x:v>31 kΩ/4.7 kΩ</x:v>
      </x:c>
      <x:c r="C20" s="102" t="str">
        <x:v>TPS16630 UVLO</x:v>
      </x:c>
      <x:c r="D20" s="102" t="str">
        <x:v>阻值</x:v>
      </x:c>
      <x:c r="E20" s="102" t="str">
        <x:v>缓慢扫压确认开启/关闭阈值</x:v>
      </x:c>
      <x:c r="F20" s="103" t="str">
        <x:v>目标约 9.1 V，按实测记录</x:v>
      </x:c>
    </x:row>
    <x:row r="21">
      <x:c r="A21" s="95" t="str">
        <x:v>R46,R45</x:v>
      </x:c>
      <x:c r="B21" s="96" t="str">
        <x:v>89 kΩ/4.7 kΩ</x:v>
      </x:c>
      <x:c r="C21" s="96" t="str">
        <x:v>TPS16630 OVP</x:v>
      </x:c>
      <x:c r="D21" s="96" t="str">
        <x:v>阻值</x:v>
      </x:c>
      <x:c r="E21" s="96" t="str">
        <x:v>可调电源扫压验证阈值，先断开昂贵负载</x:v>
      </x:c>
      <x:c r="F21" s="97" t="str">
        <x:v>目标约 24 V</x:v>
      </x:c>
    </x:row>
    <x:row r="22">
      <x:c r="A22" s="104" t="str">
        <x:v>R47</x:v>
      </x:c>
      <x:c r="B22" s="105" t="str">
        <x:v>166 kΩ（错误）</x:v>
      </x:c>
      <x:c r="C22" s="105" t="str">
        <x:v>TPS16630 限流设置</x:v>
      </x:c>
      <x:c r="D22" s="105" t="str">
        <x:v>禁止按当前值装机验大功率</x:v>
      </x:c>
      <x:c r="E22" s="105" t="str">
        <x:v>改值后以电子负载验证设定点</x:v>
      </x:c>
      <x:c r="F22" s="106" t="str">
        <x:v>IOL=18/RILIM(kΩ)</x:v>
      </x:c>
    </x:row>
    <x:row r="23">
      <x:c r="A23" s="95" t="str">
        <x:v>R42</x:v>
      </x:c>
      <x:c r="B23" s="96" t="str">
        <x:v>12 kΩ</x:v>
      </x:c>
      <x:c r="C23" s="96" t="str">
        <x:v>TPS16630 IMON</x:v>
      </x:c>
      <x:c r="D23" s="96" t="str">
        <x:v>阻值</x:v>
      </x:c>
      <x:c r="E23" s="96" t="str">
        <x:v>多点电流标定，约 0.3348 V/A 的设计换算</x:v>
      </x:c>
      <x:c r="F23" s="97" t="str">
        <x:v>以实测和数据手册为准</x:v>
      </x:c>
    </x:row>
    <x:row r="24">
      <x:c r="A24" s="101" t="str">
        <x:v>R37,R38,R32,R33,R39,R48,C32,C36,C37,D6,D7,D8,D9</x:v>
      </x:c>
      <x:c r="B24" s="102" t="str">
        <x:v>控制/滤波/钳位网络</x:v>
      </x:c>
      <x:c r="C24" s="102" t="str">
        <x:v>SHDN、FLT、dVdT 与保护接口</x:v>
      </x:c>
      <x:c r="D24" s="102" t="str">
        <x:v>值、极性、DNP（R37）、对地短路</x:v>
      </x:c>
      <x:c r="E24" s="102" t="str">
        <x:v>自启动/锁断/复位两种变体，FLT 电平与瞬态</x:v>
      </x:c>
      <x:c r="F24" s="103" t="str">
        <x:v>R37=0 Ω 决定约100 ms 自重试策略</x:v>
      </x:c>
    </x:row>
    <x:row r="25">
      <x:c r="A25" s="95" t="str">
        <x:v>R40,R41</x:v>
      </x:c>
      <x:c r="B25" s="96" t="str">
        <x:v>9.1 kΩ/1 kΩ</x:v>
      </x:c>
      <x:c r="C25" s="96" t="str">
        <x:v>VBAT_LIDAR ADC 约 1/10.1</x:v>
      </x:c>
      <x:c r="D25" s="96" t="str">
        <x:v>阻值</x:v>
      </x:c>
      <x:c r="E25" s="96" t="str">
        <x:v>3 点校准，ADC 不超过 MCU 范围</x:v>
      </x:c>
      <x:c r="F25" s="97" t="str">
        <x:v>高压扫测试先断开雷达</x:v>
      </x:c>
    </x:row>
    <x:row r="26">
      <x:c r="A26" s="101" t="str">
        <x:v>U14</x:v>
      </x:c>
      <x:c r="B26" s="102" t="str">
        <x:v>SY6280AAC</x:v>
      </x:c>
      <x:c r="C26" s="102" t="str">
        <x:v>5 V 侧 2 A 级负载开关</x:v>
      </x:c>
      <x:c r="D26" s="102" t="str">
        <x:v>必须用网表确认 IN=5V_SYS</x:v>
      </x:c>
      <x:c r="E26" s="102" t="str">
        <x:v>EN、限流、短路恢复、压降和温升</x:v>
      </x:c>
      <x:c r="F26" s="103" t="str">
        <x:v>若 IN 接 3S VBAT 则必须改版</x:v>
      </x:c>
    </x:row>
    <x:row r="27">
      <x:c r="A27" s="95" t="str">
        <x:v>R51</x:v>
      </x:c>
      <x:c r="B27" s="96" t="str">
        <x:v>6.8 kΩ</x:v>
      </x:c>
      <x:c r="C27" s="96" t="str">
        <x:v>SY6280 限流约 1 A</x:v>
      </x:c>
      <x:c r="D27" s="96" t="str">
        <x:v>阻值</x:v>
      </x:c>
      <x:c r="E27" s="96" t="str">
        <x:v>电子负载验证限流点</x:v>
      </x:c>
      <x:c r="F27" s="97" t="str">
        <x:v>按官方公式与容差复核</x:v>
      </x:c>
    </x:row>
    <x:row r="28">
      <x:c r="A28" s="101" t="str">
        <x:v>U16,U17,U19</x:v>
      </x:c>
      <x:c r="B28" s="102" t="str">
        <x:v>XT30 输出</x:v>
      </x:c>
      <x:c r="C28" s="102" t="str">
        <x:v>电机/Jetson/雷达分支</x:v>
      </x:c>
      <x:c r="D28" s="102" t="str">
        <x:v>极性、丝印、焊接、线束规格</x:v>
      </x:c>
      <x:c r="E28" s="102" t="str">
        <x:v>逐支路限流上电与压降</x:v>
      </x:c>
      <x:c r="F28" s="103" t="str">
        <x:v>大功率不得共用细线束</x:v>
      </x:c>
    </x:row>
    <x:row r="29">
      <x:c r="A29" s="95" t="str">
        <x:v>CN1,CN7,CN6</x:v>
      </x:c>
      <x:c r="B29" s="96" t="str">
        <x:v>XH2.54 2P</x:v>
      </x:c>
      <x:c r="C29" s="96" t="str">
        <x:v>PPS 和 Jetson DCDC EN</x:v>
      </x:c>
      <x:c r="D29" s="96" t="str">
        <x:v>针序、防反插、标签</x:v>
      </x:c>
      <x:c r="E29" s="96" t="str">
        <x:v>PPS 脉宽/电平；EN 开关</x:v>
      </x:c>
      <x:c r="F29" s="97" t="str">
        <x:v>外部 EN 绝对最大值需确认</x:v>
      </x:c>
    </x:row>
    <x:row r="30">
      <x:c r="A30" s="101" t="str">
        <x:v>Q3,R18,R19</x:v>
      </x:c>
      <x:c r="B30" s="102" t="str">
        <x:v>AO3400A+4.7k+10k</x:v>
      </x:c>
      <x:c r="C30" s="102" t="str">
        <x:v>Jetson DCDC EN 隔离驱动</x:v>
      </x:c>
      <x:c r="D30" s="102" t="str">
        <x:v>MOS 方向和上下拉</x:v>
      </x:c>
      <x:c r="E30" s="102" t="str">
        <x:v>MCU 控制时输出逻辑、电压和默认关断</x:v>
      </x:c>
      <x:c r="F30" s="103" t="str">
        <x:v>防止 MCU 引脚被外部电压反灌</x:v>
      </x:c>
    </x:row>
    <x:row r="31">
      <x:c r="A31" s="95" t="str">
        <x:v>U9</x:v>
      </x:c>
      <x:c r="B31" s="96" t="str">
        <x:v>STM32F407VET6 核心板</x:v>
      </x:c>
      <x:c r="C31" s="96" t="str">
        <x:v>主控核心板插接</x:v>
      </x:c>
      <x:c r="D31" s="96" t="str">
        <x:v>两排针序、5V/3V3 回灌、BOOT0/1、方向</x:v>
      </x:c>
      <x:c r="E31" s="96" t="str">
        <x:v>上电电流、SWD、时钟、GPIO、复位、固件烧录</x:v>
      </x:c>
      <x:c r="F31" s="97" t="str">
        <x:v>必须锁定具体核心板版本和引脚表</x:v>
      </x:c>
    </x:row>
    <x:row r="32">
      <x:c r="A32" s="101" t="str">
        <x:v>U3</x:v>
      </x:c>
      <x:c r="B32" s="102" t="str">
        <x:v>SN65HVD230DR</x:v>
      </x:c>
      <x:c r="C32" s="102" t="str">
        <x:v>3.3 V CAN 收发器</x:v>
      </x:c>
      <x:c r="D32" s="102" t="str">
        <x:v>VCC/GND、TX/RX、焊桥</x:v>
      </x:c>
      <x:c r="E32" s="102" t="str">
        <x:v>CANH/L 共模/差分、回环、1 Mbps 压力、总线故障</x:v>
      </x:c>
      <x:c r="F32" s="103" t="str">
        <x:v>RS 脚配置需确认</x:v>
      </x:c>
    </x:row>
    <x:row r="33">
      <x:c r="A33" s="95" t="str">
        <x:v>D1,R1,C12</x:v>
      </x:c>
      <x:c r="B33" s="96" t="str">
        <x:v>PESD1CAN + 120 Ω + 100 nF</x:v>
      </x:c>
      <x:c r="C33" s="96" t="str">
        <x:v>CAN ESD/终端/去耦</x:v>
      </x:c>
      <x:c r="D33" s="96" t="str">
        <x:v>D1 极性/对地短路；R1 是否 DNP</x:v>
      </x:c>
      <x:c r="E33" s="96" t="str">
        <x:v>断电测终端：单端约120 Ω、两端并联约60 Ω</x:v>
      </x:c>
      <x:c r="F33" s="97" t="str">
        <x:v>仅总线末端装 R1</x:v>
      </x:c>
    </x:row>
    <x:row r="34">
      <x:c r="A34" s="101" t="str">
        <x:v>CN2</x:v>
      </x:c>
      <x:c r="B34" s="102" t="str">
        <x:v>XH-3A</x:v>
      </x:c>
      <x:c r="C34" s="102" t="str">
        <x:v>CAN_H/CAN_L/GND</x:v>
      </x:c>
      <x:c r="D34" s="102" t="str">
        <x:v>针序、丝印、线束绞合</x:v>
      </x:c>
      <x:c r="E34" s="102" t="str">
        <x:v>总线通信和反接防呆</x:v>
      </x:c>
      <x:c r="F34" s="103" t="str">
        <x:v>建议屏蔽/ESD 接地策略单独定义</x:v>
      </x:c>
    </x:row>
    <x:row r="35">
      <x:c r="A35" s="107" t="str">
        <x:v>P1</x:v>
      </x:c>
      <x:c r="B35" s="108" t="str">
        <x:v>2x10 2.54 mm</x:v>
      </x:c>
      <x:c r="C35" s="108" t="str">
        <x:v>STM32 预留接口</x:v>
      </x:c>
      <x:c r="D35" s="108" t="str">
        <x:v>针序、短路、机械</x:v>
      </x:c>
      <x:c r="E35" s="108" t="str">
        <x:v>逐 GPIO 边界扫描/回环</x:v>
      </x:c>
      <x:c r="F35" s="109" t="str">
        <x:v>避免与外部 5 V 误接</x:v>
      </x:c>
    </x:row>
    <x:row r="36">
      <x:c r="A36" s="101" t="str">
        <x:v>CN3</x:v>
      </x:c>
      <x:c r="B36" s="102" t="str">
        <x:v>XH-4A</x:v>
      </x:c>
      <x:c r="C36" s="102" t="str">
        <x:v>蓝牙 UART</x:v>
      </x:c>
      <x:c r="D36" s="102" t="str">
        <x:v>VCC/GND/TX/RX 针序</x:v>
      </x:c>
      <x:c r="E36" s="102" t="str">
        <x:v>串口收发、波特率、长时间误码</x:v>
      </x:c>
      <x:c r="F36" s="103" t="str">
        <x:v>确认电平为 3.3 V</x:v>
      </x:c>
    </x:row>
    <x:row r="37">
      <x:c r="A37" s="95" t="str">
        <x:v>CN8</x:v>
      </x:c>
      <x:c r="B37" s="96" t="str">
        <x:v>XH-4A</x:v>
      </x:c>
      <x:c r="C37" s="96" t="str">
        <x:v>预留 UART3（图注 BMS 串口）</x:v>
      </x:c>
      <x:c r="D37" s="96" t="str">
        <x:v>重命名/丝印避免与 BQ I2C 混淆</x:v>
      </x:c>
      <x:c r="E37" s="96" t="str">
        <x:v>UART 回环</x:v>
      </x:c>
      <x:c r="F37" s="97" t="str">
        <x:v>不是 BQ76920 主通信口</x:v>
      </x:c>
    </x:row>
    <x:row r="38">
      <x:c r="A38" s="101" t="str">
        <x:v>H1,R7,R8</x:v>
      </x:c>
      <x:c r="B38" s="102" t="str">
        <x:v>BMS 1x5 + 10k 上拉</x:v>
      </x:c>
      <x:c r="C38" s="102" t="str">
        <x:v>BQ I2C/WAKE/ALERT 跨板</x:v>
      </x:c>
      <x:c r="D38" s="102" t="str">
        <x:v>针序、上拉至 3V3_MCU、互联 GND</x:v>
      </x:c>
      <x:c r="E38" s="102" t="str">
        <x:v>0x08 CRC 通信、ALERT 中断、唤醒</x:v>
      </x:c>
      <x:c r="F38" s="103" t="str">
        <x:v>线束长时应评估 I2C 上拉和速率</x:v>
      </x:c>
    </x:row>
    <x:row r="39">
      <x:c r="A39" s="95" t="str">
        <x:v>U12</x:v>
      </x:c>
      <x:c r="B39" s="96" t="str">
        <x:v>UM982</x:v>
      </x:c>
      <x:c r="C39" s="96" t="str">
        <x:v>双天线高精度 GNSS/RTK</x:v>
      </x:c>
      <x:c r="D39" s="96" t="str">
        <x:v>49 引脚焊接、VCC、RF、底部禁布/回流</x:v>
      </x:c>
      <x:c r="E39" s="96" t="str">
        <x:v>3.3 V、启动电流、UART、PPS、双天线、RTK FIX、冷/热启动</x:v>
      </x:c>
      <x:c r="F39" s="97" t="str">
        <x:v>VCC 3.0-3.6 V，最大约300 mA；纹波&lt;=50 mV</x:v>
      </x:c>
    </x:row>
    <x:row r="40">
      <x:c r="A40" s="101" t="str">
        <x:v>C24,C25,C26,C28</x:v>
      </x:c>
      <x:c r="B40" s="102" t="str">
        <x:v>3x10 µF +100 pF</x:v>
      </x:c>
      <x:c r="C40" s="102" t="str">
        <x:v>UM982 电源/高频去耦</x:v>
      </x:c>
      <x:c r="D40" s="102" t="str">
        <x:v>容量、耐压、位置</x:v>
      </x:c>
      <x:c r="E40" s="102" t="str">
        <x:v>启动压降和射频噪声</x:v>
      </x:c>
      <x:c r="F40" s="103" t="str">
        <x:v>靠近 VCC</x:v>
      </x:c>
    </x:row>
    <x:row r="41">
      <x:c r="A41" s="95" t="str">
        <x:v>RF1,RF2</x:v>
      </x:c>
      <x:c r="B41" s="96" t="str">
        <x:v>6 GHz 同轴座</x:v>
      </x:c>
      <x:c r="C41" s="96" t="str">
        <x:v>ANT1/ANT2 接口</x:v>
      </x:c>
      <x:c r="D41" s="96" t="str">
        <x:v>中心针短路、机械、阻抗、焊接</x:v>
      </x:c>
      <x:c r="E41" s="96" t="str">
        <x:v>无源驻波/插损；接有源天线后定位</x:v>
      </x:c>
      <x:c r="F41" s="97" t="str">
        <x:v>需50 Ω叠层与TDR证明</x:v>
      </x:c>
    </x:row>
    <x:row r="42">
      <x:c r="A42" s="104" t="str">
        <x:v>D2,D3</x:v>
      </x:c>
      <x:c r="B42" s="105" t="str">
        <x:v>RCLAMP0521P-N</x:v>
      </x:c>
      <x:c r="C42" s="105" t="str">
        <x:v>RF 端口 ESD</x:v>
      </x:c>
      <x:c r="D42" s="105" t="str">
        <x:v>方向/寄生/接地过孔</x:v>
      </x:c>
      <x:c r="E42" s="105" t="str">
        <x:v>静态短路与射频插损抽测</x:v>
      </x:c>
      <x:c r="F42" s="106" t="str">
        <x:v>应适用&gt;2 GHz</x:v>
      </x:c>
    </x:row>
    <x:row r="43">
      <x:c r="A43" s="95" t="str">
        <x:v>L1,L3,L2,L4,C1,C17,C18,C22,C14,C19,C16,C21,C15,C20,C27</x:v>
      </x:c>
      <x:c r="B43" s="96" t="str">
        <x:v>22 µH/68 nH/100 pF/去耦</x:v>
      </x:c>
      <x:c r="C43" s="96" t="str">
        <x:v>双天线偏置馈电和隔直</x:v>
      </x:c>
      <x:c r="D43" s="96" t="str">
        <x:v>值、封装、DNP 和方向</x:v>
      </x:c>
      <x:c r="E43" s="96" t="str">
        <x:v>偏置电压、短路限流、噪声、RF 连通性</x:v>
      </x:c>
      <x:c r="F43" s="97" t="str">
        <x:v>按 UM982 参考网络核对</x:v>
      </x:c>
    </x:row>
    <x:row r="44">
      <x:c r="A44" s="101" t="str">
        <x:v>U2,U11</x:v>
      </x:c>
      <x:c r="B44" s="102" t="str">
        <x:v>FPF2004</x:v>
      </x:c>
      <x:c r="C44" s="102" t="str">
        <x:v>有源天线偏置限流开关</x:v>
      </x:c>
      <x:c r="D44" s="102" t="str">
        <x:v>输入2.5-5.5 V、ON/FLAG、焊接</x:v>
      </x:c>
      <x:c r="E44" s="102" t="str">
        <x:v>开/关、短路限流、FLAG、压降与恢复</x:v>
      </x:c>
      <x:c r="F44" s="103" t="str">
        <x:v>额定电流约0.2 A，必须实测天线浪涌</x:v>
      </x:c>
    </x:row>
    <x:row r="45">
      <x:c r="A45" s="95" t="str">
        <x:v>R52,R53,R54,R55</x:v>
      </x:c>
      <x:c r="B45" s="96" t="str">
        <x:v>0 Ω 二选一</x:v>
      </x:c>
      <x:c r="C45" s="96" t="str">
        <x:v>每路天线选择 3.3 V 或 5 V 偏置</x:v>
      </x:c>
      <x:c r="D45" s="96" t="str">
        <x:v>每对只能焊一个</x:v>
      </x:c>
      <x:c r="E45" s="96" t="str">
        <x:v>断电测3V3与5V不短路；上电测偏置</x:v>
      </x:c>
      <x:c r="F45" s="97" t="str">
        <x:v>列为首件/终检强制项</x:v>
      </x:c>
    </x:row>
    <x:row r="46">
      <x:c r="A46" s="101" t="str">
        <x:v>U1,U8,D10</x:v>
      </x:c>
      <x:c r="B46" s="102" t="str">
        <x:v>SMF5.0A/SMF3.3A</x:v>
      </x:c>
      <x:c r="C46" s="102" t="str">
        <x:v>天线偏置/低压 TVS</x:v>
      </x:c>
      <x:c r="D46" s="102" t="str">
        <x:v>注意 U1/U8 设计ator误用，核对极性</x:v>
      </x:c>
      <x:c r="E46" s="102" t="str">
        <x:v>工作电压无持续钳位/发热</x:v>
      </x:c>
      <x:c r="F46" s="103" t="str">
        <x:v>建议修正设计ator便于 BOM/AOI</x:v>
      </x:c>
    </x:row>
    <x:row r="47">
      <x:c r="A47" s="95" t="str">
        <x:v>U13,R25,R26,R27,R28,R24,C23</x:v>
      </x:c>
      <x:c r="B47" s="96" t="str">
        <x:v>SN74LVC541A+33 Ω</x:v>
      </x:c>
      <x:c r="C47" s="96" t="str">
        <x:v>PPS 四路扇出</x:v>
      </x:c>
      <x:c r="D47" s="96" t="str">
        <x:v>OE、电源、33 Ω串阻、去耦</x:v>
      </x:c>
      <x:c r="E47" s="96" t="str">
        <x:v>四路幅值、延迟、抖动、带容性负载波形</x:v>
      </x:c>
      <x:c r="F47" s="97" t="str">
        <x:v>VCC 1.65-3.6 V</x:v>
      </x:c>
    </x:row>
    <x:row r="48">
      <x:c r="A48" s="101" t="str">
        <x:v>LED1,LED2,LED3,R21,R22,R23</x:v>
      </x:c>
      <x:c r="B48" s="102" t="str">
        <x:v>R/Y/G LED +1 kΩ</x:v>
      </x:c>
      <x:c r="C48" s="102" t="str">
        <x:v>ERR/PVT/RTK 状态</x:v>
      </x:c>
      <x:c r="D48" s="102" t="str">
        <x:v>LED 极性和颜色</x:v>
      </x:c>
      <x:c r="E48" s="102" t="str">
        <x:v>状态切换与 UM982 输出一致</x:v>
      </x:c>
      <x:c r="F48" s="103" t="str">
        <x:v>记录亮度和电流</x:v>
      </x:c>
    </x:row>
    <x:row r="49">
      <x:c r="A49" s="95" t="str">
        <x:v>BT1,D4,R5</x:v>
      </x:c>
      <x:c r="B49" s="96" t="str">
        <x:v>ML1220+BAT54+1 kΩ</x:v>
      </x:c>
      <x:c r="C49" s="96" t="str">
        <x:v>UM982 备份电源</x:v>
      </x:c>
      <x:c r="D49" s="96" t="str">
        <x:v>电池化学体系、极性、焊接温度</x:v>
      </x:c>
      <x:c r="E49" s="96" t="str">
        <x:v>掉主电后 V_BCKP、充电电流、热启动保持</x:v>
      </x:c>
      <x:c r="F49" s="97" t="str">
        <x:v>不可误装不可充电 CR1220</x:v>
      </x:c>
    </x:row>
    <x:row r="50">
      <x:c r="A50" s="101" t="str">
        <x:v>R2,R3,R4,R20,R29,R30,C28</x:v>
      </x:c>
      <x:c r="B50" s="102" t="str">
        <x:v>10 kΩ 偏置/上拉</x:v>
      </x:c>
      <x:c r="C50" s="102" t="str">
        <x:v>UM982 控制/接口偏置</x:v>
      </x:c>
      <x:c r="D50" s="102" t="str">
        <x:v>阻值</x:v>
      </x:c>
      <x:c r="E50" s="102" t="str">
        <x:v>复位、短路检测、UART 空闲电平</x:v>
      </x:c>
      <x:c r="F50" s="103" t="str">
        <x:v>按网络逐点核对</x:v>
      </x:c>
    </x:row>
    <x:row r="51">
      <x:c r="A51" s="95" t="str">
        <x:v>CN4</x:v>
      </x:c>
      <x:c r="B51" s="96" t="str">
        <x:v>XH2.54 3P</x:v>
      </x:c>
      <x:c r="C51" s="96" t="str">
        <x:v>UM982 调试 UART</x:v>
      </x:c>
      <x:c r="D51" s="96" t="str">
        <x:v>针序、电平</x:v>
      </x:c>
      <x:c r="E51" s="96" t="str">
        <x:v>工具连接、收发、固件版本读取</x:v>
      </x:c>
      <x:c r="F51" s="97" t="str">
        <x:v>默认波特率以模块实际配置为准</x:v>
      </x:c>
    </x:row>
    <x:row r="52">
      <x:c r="A52" s="101" t="str">
        <x:v>U15</x:v>
      </x:c>
      <x:c r="B52" s="102" t="str">
        <x:v>MTi 1-series / MTi-3</x:v>
      </x:c>
      <x:c r="C52" s="102" t="str">
        <x:v>AHRS/IMU</x:v>
      </x:c>
      <x:c r="D52" s="102" t="str">
        <x:v>MSL3 管控、焊点、方向、底部 keepout</x:v>
      </x:c>
      <x:c r="E52" s="102" t="str">
        <x:v>电源、接口模式、设备 ID、自检、静止噪声、温漂、姿态/PPS</x:v>
      </x:c>
      <x:c r="F52" s="103" t="str">
        <x:v>不建议手焊；全部铜层下方禁布</x:v>
      </x:c>
    </x:row>
    <x:row r="53">
      <x:c r="A53" s="95" t="str">
        <x:v>R31</x:v>
      </x:c>
      <x:c r="B53" s="96" t="str">
        <x:v>27 Ω（需审查）</x:v>
      </x:c>
      <x:c r="C53" s="96" t="str">
        <x:v>3V3_IMU 至 MTi VDDA 隔离</x:v>
      </x:c>
      <x:c r="D53" s="96" t="str">
        <x:v>上电前评估压降</x:v>
      </x:c>
      <x:c r="E53" s="96" t="str">
        <x:v>启动/动态电流下 VDDA&gt;=2.8 V，纹波&lt;=50 mVpp</x:v>
      </x:c>
      <x:c r="F53" s="97" t="str">
        <x:v>优先按 Xsens 参考改低DCR磁珠</x:v>
      </x:c>
    </x:row>
    <x:row r="54">
      <x:c r="A54" s="101" t="str">
        <x:v>C29,C30,C13,C31</x:v>
      </x:c>
      <x:c r="B54" s="102" t="str">
        <x:v>10 µF/470 nF/100 nF</x:v>
      </x:c>
      <x:c r="C54" s="102" t="str">
        <x:v>MTi 电源去耦</x:v>
      </x:c>
      <x:c r="D54" s="102" t="str">
        <x:v>容量与贴近度</x:v>
      </x:c>
      <x:c r="E54" s="102" t="str">
        <x:v>VDDA/VDDIO 纹波与启动</x:v>
      </x:c>
      <x:c r="F54" s="103" t="str">
        <x:v>位置和回流地关键</x:v>
      </x:c>
    </x:row>
    <x:row r="55">
      <x:c r="A55" s="95" t="str">
        <x:v>SW1</x:v>
      </x:c>
      <x:c r="B55" s="96" t="str">
        <x:v>TA-02</x:v>
      </x:c>
      <x:c r="C55" s="96" t="str">
        <x:v>MTi PSEL0/PSEL1 接口选择</x:v>
      </x:c>
      <x:c r="D55" s="96" t="str">
        <x:v>拨码方向和内部上拉</x:v>
      </x:c>
      <x:c r="E55" s="96" t="str">
        <x:v>四种模式逐一确认或固定唯一量产模式</x:v>
      </x:c>
      <x:c r="F55" s="97" t="str">
        <x:v>I2C=11,SPI=10,半双工UART=01,全双工UART=00</x:v>
      </x:c>
    </x:row>
    <x:row r="56">
      <x:c r="A56" s="110" t="str">
        <x:v>FIX1,FIX2,FIX3,FIX4</x:v>
      </x:c>
      <x:c r="B56" s="111" t="str">
        <x:v>安装孔</x:v>
      </x:c>
      <x:c r="C56" s="111" t="str">
        <x:v>机械固定</x:v>
      </x:c>
      <x:c r="D56" s="111" t="str">
        <x:v>孔径、禁布、接地策略、螺钉材料</x:v>
      </x:c>
      <x:c r="E56" s="111" t="str">
        <x:v>装机应力后复测 IMU 零偏</x:v>
      </x:c>
      <x:c r="F56" s="112" t="str">
        <x:v>MTi 周围避免铁磁紧固件/应力</x:v>
      </x:c>
    </x:row>
  </x:sheetData>
  <x:mergeCells>
    <x:mergeCell ref="A1:F1"/>
    <x:mergeCell ref="A2:F2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9" hidden="0" customWidth="1"/>
    <x:col min="2" max="2" width="10" hidden="0" customWidth="1"/>
    <x:col min="3" max="3" width="18" hidden="0" customWidth="1"/>
    <x:col min="4" max="4" width="24" hidden="0" customWidth="1"/>
    <x:col min="5" max="5" width="48" hidden="0" customWidth="1"/>
    <x:col min="6" max="6" width="48" hidden="0" customWidth="1"/>
    <x:col min="7" max="7" width="24" hidden="0" customWidth="1"/>
    <x:col min="8" max="8" width="24" hidden="0" customWidth="1"/>
    <x:col min="9" max="9" width="14" hidden="0" customWidth="1"/>
    <x:col min="10" max="10" width="14" hidden="0" customWidth="1"/>
    <x:col min="11" max="11" width="14" hidden="0" customWidth="1"/>
  </x:cols>
  <x:sheetData>
    <x:row r="1" ht="30" customHeight="1">
      <x:c r="A1" s="23" t="str">
        <x:v>BMS 首板测试矩阵</x:v>
      </x:c>
      <x:c r="B1" s="23"/>
      <x:c r="C1" s="23"/>
      <x:c r="D1" s="23"/>
      <x:c r="E1" s="23"/>
      <x:c r="F1" s="23"/>
      <x:c r="G1" s="23"/>
      <x:c r="H1" s="23"/>
      <x:c r="I1" s="23"/>
      <x:c r="J1" s="23"/>
      <x:c r="K1" s="23"/>
    </x:row>
    <x:row r="2" ht="26" customHeight="1">
      <x:c r="A2" s="27" t="str">
        <x:v>在整改 BQ76920 VC 映射并取得真实 BMS PCB 后执行；结果/测量值/执行人/日期为现场填写</x:v>
      </x:c>
      <x:c r="B2" s="27"/>
      <x:c r="C2" s="27"/>
      <x:c r="D2" s="27"/>
      <x:c r="E2" s="27"/>
      <x:c r="F2" s="27"/>
      <x:c r="G2" s="27"/>
      <x:c r="H2" s="27"/>
      <x:c r="I2" s="27"/>
      <x:c r="J2" s="27"/>
      <x:c r="K2" s="27"/>
    </x:row>
    <x:row r="4" ht="26" customHeight="1">
      <x:c r="A4" s="31" t="str">
        <x:v>阶段</x:v>
      </x:c>
      <x:c r="B4" s="31" t="str">
        <x:v>ID</x:v>
      </x:c>
      <x:c r="C4" s="31" t="str">
        <x:v>对象</x:v>
      </x:c>
      <x:c r="D4" s="31" t="str">
        <x:v>设备</x:v>
      </x:c>
      <x:c r="E4" s="31" t="str">
        <x:v>步骤</x:v>
      </x:c>
      <x:c r="F4" s="31" t="str">
        <x:v>判定</x:v>
      </x:c>
      <x:c r="G4" s="31" t="str">
        <x:v>备注</x:v>
      </x:c>
      <x:c r="H4" s="31" t="str">
        <x:v>结果/测量值</x:v>
      </x:c>
      <x:c r="I4" s="31" t="str">
        <x:v>执行人</x:v>
      </x:c>
      <x:c r="J4" s="31" t="str">
        <x:v>日期</x:v>
      </x:c>
      <x:c r="K4" s="31" t="str">
        <x:v>状态</x:v>
      </x:c>
    </x:row>
    <x:row r="5">
      <x:c r="A5" s="113" t="str">
        <x:v>G0</x:v>
      </x:c>
      <x:c r="B5" s="114" t="str">
        <x:v>B-001</x:v>
      </x:c>
      <x:c r="C5" s="114" t="str">
        <x:v>资料门禁</x:v>
      </x:c>
      <x:c r="D5" s="114" t="str">
        <x:v>文件/BOM</x:v>
      </x:c>
      <x:c r="E5" s="114" t="str">
        <x:v>核对原理图版本、真实 BMS Gerber/网表/BOM/CPL</x:v>
      </x:c>
      <x:c r="F5" s="114" t="str">
        <x:v>资料齐套且 R-01/R-02 有关闭证据</x:v>
      </x:c>
      <x:c r="G5" s="114" t="str">
        <x:v>阻断</x:v>
      </x:c>
      <x:c r="H5" s="114" t="str"/>
      <x:c r="I5" s="114" t="str"/>
      <x:c r="J5" s="114" t="str"/>
      <x:c r="K5" s="115" t="str">
        <x:v>未执行</x:v>
      </x:c>
    </x:row>
    <x:row r="6">
      <x:c r="A6" s="101" t="str">
        <x:v>G1</x:v>
      </x:c>
      <x:c r="B6" s="102" t="str">
        <x:v>B-002</x:v>
      </x:c>
      <x:c r="C6" s="102" t="str">
        <x:v>外观</x:v>
      </x:c>
      <x:c r="D6" s="102" t="str">
        <x:v>显微镜</x:v>
      </x:c>
      <x:c r="E6" s="102" t="str">
        <x:v>检查 U1、Q1-Q7、D1-D12、连接器方向、焊桥、裂纹</x:v>
      </x:c>
      <x:c r="F6" s="102" t="str">
        <x:v>无错件、反向、桥连、虚焊、污染</x:v>
      </x:c>
      <x:c r="G6" s="102" t="str">
        <x:v>必测</x:v>
      </x:c>
      <x:c r="H6" s="102" t="str"/>
      <x:c r="I6" s="102" t="str"/>
      <x:c r="J6" s="102" t="str"/>
      <x:c r="K6" s="103" t="str">
        <x:v>未执行</x:v>
      </x:c>
    </x:row>
    <x:row r="7">
      <x:c r="A7" s="95" t="str">
        <x:v>G1</x:v>
      </x:c>
      <x:c r="B7" s="96" t="str">
        <x:v>B-003</x:v>
      </x:c>
      <x:c r="C7" s="96" t="str">
        <x:v>关键阻值</x:v>
      </x:c>
      <x:c r="D7" s="96" t="str">
        <x:v>4线毫欧计/DMM</x:v>
      </x:c>
      <x:c r="E7" s="96" t="str">
        <x:v>R25、R26、I2C 上拉、栅极阻值逐项测</x:v>
      </x:c>
      <x:c r="F7" s="96" t="str">
        <x:v>R25接近2mΩ；R26&lt;0.2Ω；其余在公差内</x:v>
      </x:c>
      <x:c r="G7" s="96" t="str">
        <x:v>必测</x:v>
      </x:c>
      <x:c r="H7" s="96" t="str"/>
      <x:c r="I7" s="96" t="str"/>
      <x:c r="J7" s="96" t="str"/>
      <x:c r="K7" s="97" t="str">
        <x:v>未执行</x:v>
      </x:c>
    </x:row>
    <x:row r="8">
      <x:c r="A8" s="101" t="str">
        <x:v>G1</x:v>
      </x:c>
      <x:c r="B8" s="102" t="str">
        <x:v>B-004</x:v>
      </x:c>
      <x:c r="C8" s="102" t="str">
        <x:v>绝缘/短路</x:v>
      </x:c>
      <x:c r="D8" s="102" t="str">
        <x:v>DMM</x:v>
      </x:c>
      <x:c r="E8" s="102" t="str">
        <x:v>B+/B-、VBAT+/GND_DC、REGOUT/VSS、各相邻采样针</x:v>
      </x:c>
      <x:c r="F8" s="102" t="str">
        <x:v>无低阻硬短；记录稳定后的阻值</x:v>
      </x:c>
      <x:c r="G8" s="102" t="str">
        <x:v>必测</x:v>
      </x:c>
      <x:c r="H8" s="102" t="str"/>
      <x:c r="I8" s="102" t="str"/>
      <x:c r="J8" s="102" t="str"/>
      <x:c r="K8" s="103" t="str">
        <x:v>未执行</x:v>
      </x:c>
    </x:row>
    <x:row r="9">
      <x:c r="A9" s="95" t="str">
        <x:v>G2</x:v>
      </x:c>
      <x:c r="B9" s="96" t="str">
        <x:v>B-005</x:v>
      </x:c>
      <x:c r="C9" s="96" t="str">
        <x:v>模拟电芯接线前核对</x:v>
      </x:c>
      <x:c r="D9" s="96" t="str">
        <x:v>3路隔离电源+DMM</x:v>
      </x:c>
      <x:c r="E9" s="96" t="str">
        <x:v>每路设3.0-3.3V/20-50mA，串联得到B-/B1/B2/B+</x:v>
      </x:c>
      <x:c r="F9" s="96" t="str">
        <x:v>相邻节电压均正且一致；累计电压单调</x:v>
      </x:c>
      <x:c r="G9" s="96" t="str">
        <x:v>禁用单12V代替</x:v>
      </x:c>
      <x:c r="H9" s="96" t="str"/>
      <x:c r="I9" s="96" t="str"/>
      <x:c r="J9" s="96" t="str"/>
      <x:c r="K9" s="97" t="str">
        <x:v>未执行</x:v>
      </x:c>
    </x:row>
    <x:row r="10">
      <x:c r="A10" s="101" t="str">
        <x:v>G2</x:v>
      </x:c>
      <x:c r="B10" s="102" t="str">
        <x:v>B-006</x:v>
      </x:c>
      <x:c r="C10" s="102" t="str">
        <x:v>接入顺序</x:v>
      </x:c>
      <x:c r="D10" s="102" t="str">
        <x:v>线束/保险</x:v>
      </x:c>
      <x:c r="E10" s="102" t="str">
        <x:v>按 B-→B1→B2→B+ 接采样，最后接主功率正负</x:v>
      </x:c>
      <x:c r="F10" s="102" t="str">
        <x:v>无火花/限流；任一通道不进入恒流</x:v>
      </x:c>
      <x:c r="G10" s="102" t="str">
        <x:v>R-01关闭后</x:v>
      </x:c>
      <x:c r="H10" s="102" t="str"/>
      <x:c r="I10" s="102" t="str"/>
      <x:c r="J10" s="102" t="str"/>
      <x:c r="K10" s="103" t="str">
        <x:v>未执行</x:v>
      </x:c>
    </x:row>
    <x:row r="11">
      <x:c r="A11" s="95" t="str">
        <x:v>G3</x:v>
      </x:c>
      <x:c r="B11" s="96" t="str">
        <x:v>B-007</x:v>
      </x:c>
      <x:c r="C11" s="96" t="str">
        <x:v>唤醒与REGOUT</x:v>
      </x:c>
      <x:c r="D11" s="96" t="str">
        <x:v>示波器/DMM</x:v>
      </x:c>
      <x:c r="E11" s="96" t="str">
        <x:v>按 SW1 或受控拉高 TS1，记录 REGOUT</x:v>
      </x:c>
      <x:c r="F11" s="96" t="str">
        <x:v>约3.3V，启动后稳定无振荡；约10ms后可通信</x:v>
      </x:c>
      <x:c r="G11" s="96" t="str">
        <x:v>必测</x:v>
      </x:c>
      <x:c r="H11" s="96" t="str"/>
      <x:c r="I11" s="96" t="str"/>
      <x:c r="J11" s="96" t="str"/>
      <x:c r="K11" s="97" t="str">
        <x:v>未执行</x:v>
      </x:c>
    </x:row>
    <x:row r="12">
      <x:c r="A12" s="104" t="str">
        <x:v>G3</x:v>
      </x:c>
      <x:c r="B12" s="105" t="str">
        <x:v>B-008</x:v>
      </x:c>
      <x:c r="C12" s="105" t="str">
        <x:v>I2C+CRC</x:v>
      </x:c>
      <x:c r="D12" s="105" t="str">
        <x:v>逻辑分析仪/MCU</x:v>
      </x:c>
      <x:c r="E12" s="105" t="str">
        <x:v>访问7位地址0x08，使用CRC格式，写CC_CFG=0x19</x:v>
      </x:c>
      <x:c r="F12" s="105" t="str">
        <x:v>ACK正常，无CRC错误；寄存器读写一致</x:v>
      </x:c>
      <x:c r="G12" s="105" t="str">
        <x:v>必测</x:v>
      </x:c>
      <x:c r="H12" s="105" t="str"/>
      <x:c r="I12" s="105" t="str"/>
      <x:c r="J12" s="105" t="str"/>
      <x:c r="K12" s="106" t="str">
        <x:v>未执行</x:v>
      </x:c>
    </x:row>
    <x:row r="13">
      <x:c r="A13" s="95" t="str">
        <x:v>G3</x:v>
      </x:c>
      <x:c r="B13" s="96" t="str">
        <x:v>B-009</x:v>
      </x:c>
      <x:c r="C13" s="96" t="str">
        <x:v>电芯电压精度</x:v>
      </x:c>
      <x:c r="D13" s="96" t="str">
        <x:v>6.5位DMM</x:v>
      </x:c>
      <x:c r="E13" s="96" t="str">
        <x:v>3.0/3.3/3.6/4.1V多点，比较寄存器</x:v>
      </x:c>
      <x:c r="F13" s="96" t="str">
        <x:v>每节误差满足产品指标；建议首板&lt;=±10mV目标</x:v>
      </x:c>
      <x:c r="G13" s="96" t="str">
        <x:v>目标需产品确认</x:v>
      </x:c>
      <x:c r="H13" s="96" t="str"/>
      <x:c r="I13" s="96" t="str"/>
      <x:c r="J13" s="96" t="str"/>
      <x:c r="K13" s="97" t="str">
        <x:v>未执行</x:v>
      </x:c>
    </x:row>
    <x:row r="14">
      <x:c r="A14" s="101" t="str">
        <x:v>G3</x:v>
      </x:c>
      <x:c r="B14" s="102" t="str">
        <x:v>B-010</x:v>
      </x:c>
      <x:c r="C14" s="102" t="str">
        <x:v>温度</x:v>
      </x:c>
      <x:c r="D14" s="102" t="str">
        <x:v>电阻箱/温箱</x:v>
      </x:c>
      <x:c r="E14" s="102" t="str">
        <x:v>模拟 NTC 室温/高温/低温及开短路</x:v>
      </x:c>
      <x:c r="F14" s="102" t="str">
        <x:v>换算准确；阈值动作与恢复一致</x:v>
      </x:c>
      <x:c r="G14" s="102" t="str">
        <x:v>必测</x:v>
      </x:c>
      <x:c r="H14" s="102" t="str"/>
      <x:c r="I14" s="102" t="str"/>
      <x:c r="J14" s="102" t="str"/>
      <x:c r="K14" s="103" t="str">
        <x:v>未执行</x:v>
      </x:c>
    </x:row>
    <x:row r="15">
      <x:c r="A15" s="95" t="str">
        <x:v>G4</x:v>
      </x:c>
      <x:c r="B15" s="96" t="str">
        <x:v>B-011</x:v>
      </x:c>
      <x:c r="C15" s="96" t="str">
        <x:v>电流零点与增益</x:v>
      </x:c>
      <x:c r="D15" s="96" t="str">
        <x:v>电子负载/源表</x:v>
      </x:c>
      <x:c r="E15" s="96" t="str">
        <x:v>0/0.5/1/2A充放电，四线测R25</x:v>
      </x:c>
      <x:c r="F15" s="96" t="str">
        <x:v>零点和增益满足指标；方向正确</x:v>
      </x:c>
      <x:c r="G15" s="96" t="str">
        <x:v>必测</x:v>
      </x:c>
      <x:c r="H15" s="96" t="str"/>
      <x:c r="I15" s="96" t="str"/>
      <x:c r="J15" s="96" t="str"/>
      <x:c r="K15" s="97" t="str">
        <x:v>未执行</x:v>
      </x:c>
    </x:row>
    <x:row r="16">
      <x:c r="A16" s="101" t="str">
        <x:v>G4</x:v>
      </x:c>
      <x:c r="B16" s="102" t="str">
        <x:v>B-012</x:v>
      </x:c>
      <x:c r="C16" s="102" t="str">
        <x:v>CHG/DSG控制</x:v>
      </x:c>
      <x:c r="D16" s="102" t="str">
        <x:v>电子负载/示波器</x:v>
      </x:c>
      <x:c r="E16" s="102" t="str">
        <x:v>分别置位/清除MOS控制，测CN3与压降</x:v>
      </x:c>
      <x:c r="F16" s="102" t="str">
        <x:v>状态正确，无直通异常；关断隔离</x:v>
      </x:c>
      <x:c r="G16" s="102" t="str">
        <x:v>先低电流</x:v>
      </x:c>
      <x:c r="H16" s="102" t="str"/>
      <x:c r="I16" s="102" t="str"/>
      <x:c r="J16" s="102" t="str"/>
      <x:c r="K16" s="103" t="str">
        <x:v>未执行</x:v>
      </x:c>
    </x:row>
    <x:row r="17">
      <x:c r="A17" s="95" t="str">
        <x:v>G4</x:v>
      </x:c>
      <x:c r="B17" s="96" t="str">
        <x:v>B-013</x:v>
      </x:c>
      <x:c r="C17" s="96" t="str">
        <x:v>均衡</x:v>
      </x:c>
      <x:c r="D17" s="96" t="str">
        <x:v>电芯模拟器/热像</x:v>
      </x:c>
      <x:c r="E17" s="96" t="str">
        <x:v>一次只开启一节，测支路电流、压降和温升</x:v>
      </x:c>
      <x:c r="F17" s="96" t="str">
        <x:v>目标支路动作，其他节不动作；温升可控</x:v>
      </x:c>
      <x:c r="G17" s="96" t="str">
        <x:v>先修映射</x:v>
      </x:c>
      <x:c r="H17" s="96" t="str"/>
      <x:c r="I17" s="96" t="str"/>
      <x:c r="J17" s="96" t="str"/>
      <x:c r="K17" s="97" t="str">
        <x:v>未执行</x:v>
      </x:c>
    </x:row>
    <x:row r="18">
      <x:c r="A18" s="101" t="str">
        <x:v>G5</x:v>
      </x:c>
      <x:c r="B18" s="102" t="str">
        <x:v>B-014</x:v>
      </x:c>
      <x:c r="C18" s="102" t="str">
        <x:v>过压/欠压</x:v>
      </x:c>
      <x:c r="D18" s="102" t="str">
        <x:v>可编程电芯模拟器</x:v>
      </x:c>
      <x:c r="E18" s="102" t="str">
        <x:v>缓慢跨越阈值并回退</x:v>
      </x:c>
      <x:c r="F18" s="102" t="str">
        <x:v>检测、延迟、MOS动作、恢复均符合固件设定</x:v>
      </x:c>
      <x:c r="G18" s="102" t="str">
        <x:v>禁止真实电芯做故障注入</x:v>
      </x:c>
      <x:c r="H18" s="102" t="str"/>
      <x:c r="I18" s="102" t="str"/>
      <x:c r="J18" s="102" t="str"/>
      <x:c r="K18" s="103" t="str">
        <x:v>未执行</x:v>
      </x:c>
    </x:row>
    <x:row r="19">
      <x:c r="A19" s="95" t="str">
        <x:v>G5</x:v>
      </x:c>
      <x:c r="B19" s="96" t="str">
        <x:v>B-015</x:v>
      </x:c>
      <x:c r="C19" s="96" t="str">
        <x:v>过流/短路</x:v>
      </x:c>
      <x:c r="D19" s="96" t="str">
        <x:v>电子负载/专用治具</x:v>
      </x:c>
      <x:c r="E19" s="96" t="str">
        <x:v>从低电流阶梯增加；短路用受控治具</x:v>
      </x:c>
      <x:c r="F19" s="96" t="str">
        <x:v>保护阈值/延迟/恢复可重复，无器件损伤</x:v>
      </x:c>
      <x:c r="G19" s="96" t="str">
        <x:v>需防火设施</x:v>
      </x:c>
      <x:c r="H19" s="96" t="str"/>
      <x:c r="I19" s="96" t="str"/>
      <x:c r="J19" s="96" t="str"/>
      <x:c r="K19" s="97" t="str">
        <x:v>未执行</x:v>
      </x:c>
    </x:row>
    <x:row r="20">
      <x:c r="A20" s="101" t="str">
        <x:v>G5</x:v>
      </x:c>
      <x:c r="B20" s="102" t="str">
        <x:v>B-016</x:v>
      </x:c>
      <x:c r="C20" s="102" t="str">
        <x:v>开线诊断</x:v>
      </x:c>
      <x:c r="D20" s="102" t="str">
        <x:v>继电器矩阵</x:v>
      </x:c>
      <x:c r="E20" s="102" t="str">
        <x:v>逐个断开B1/B2/B+/NTC/通信线</x:v>
      </x:c>
      <x:c r="F20" s="102" t="str">
        <x:v>系统进入安全状态并报告故障</x:v>
      </x:c>
      <x:c r="G20" s="102" t="str">
        <x:v>不可带载手拔</x:v>
      </x:c>
      <x:c r="H20" s="102" t="str"/>
      <x:c r="I20" s="102" t="str"/>
      <x:c r="J20" s="102" t="str"/>
      <x:c r="K20" s="103" t="str">
        <x:v>未执行</x:v>
      </x:c>
    </x:row>
    <x:row r="21">
      <x:c r="A21" s="95" t="str">
        <x:v>G6</x:v>
      </x:c>
      <x:c r="B21" s="96" t="str">
        <x:v>B-017</x:v>
      </x:c>
      <x:c r="C21" s="96" t="str">
        <x:v>效率与热</x:v>
      </x:c>
      <x:c r="D21" s="96" t="str">
        <x:v>电子负载/热像</x:v>
      </x:c>
      <x:c r="E21" s="96" t="str">
        <x:v>1/2/额定电流稳态30min</x:v>
      </x:c>
      <x:c r="F21" s="96" t="str">
        <x:v>MOS、分流器、保险、连接器温升在批准限值内</x:v>
      </x:c>
      <x:c r="G21" s="96" t="str">
        <x:v>额定电流待确定</x:v>
      </x:c>
      <x:c r="H21" s="96" t="str"/>
      <x:c r="I21" s="96" t="str"/>
      <x:c r="J21" s="96" t="str"/>
      <x:c r="K21" s="97" t="str">
        <x:v>未执行</x:v>
      </x:c>
    </x:row>
    <x:row r="22">
      <x:c r="A22" s="101" t="str">
        <x:v>G6</x:v>
      </x:c>
      <x:c r="B22" s="102" t="str">
        <x:v>B-018</x:v>
      </x:c>
      <x:c r="C22" s="102" t="str">
        <x:v>反接与插拔</x:v>
      </x:c>
      <x:c r="D22" s="102" t="str">
        <x:v>限流源/治具</x:v>
      </x:c>
      <x:c r="E22" s="102" t="str">
        <x:v>按产品风险等级验证反接、抖动、热插拔</x:v>
      </x:c>
      <x:c r="F22" s="102" t="str">
        <x:v>无危险能量、无锁死、可恢复</x:v>
      </x:c>
      <x:c r="G22" s="102" t="str">
        <x:v>仅在评审批准后</x:v>
      </x:c>
      <x:c r="H22" s="102" t="str"/>
      <x:c r="I22" s="102" t="str"/>
      <x:c r="J22" s="102" t="str"/>
      <x:c r="K22" s="103" t="str">
        <x:v>未执行</x:v>
      </x:c>
    </x:row>
    <x:row r="23">
      <x:c r="A23" s="95" t="str">
        <x:v>G7</x:v>
      </x:c>
      <x:c r="B23" s="96" t="str">
        <x:v>B-019</x:v>
      </x:c>
      <x:c r="C23" s="96" t="str">
        <x:v>与主控联调</x:v>
      </x:c>
      <x:c r="D23" s="96" t="str">
        <x:v>主控板/协议日志</x:v>
      </x:c>
      <x:c r="E23" s="96" t="str">
        <x:v>H1连接，轮询电压电流温度，处理ALERT/WAKE</x:v>
      </x:c>
      <x:c r="F23" s="96" t="str">
        <x:v>连续2h无CRC/掉线，故障信息正确</x:v>
      </x:c>
      <x:c r="G23" s="96" t="str">
        <x:v>屏蔽大功率负载</x:v>
      </x:c>
      <x:c r="H23" s="96" t="str"/>
      <x:c r="I23" s="96" t="str"/>
      <x:c r="J23" s="96" t="str"/>
      <x:c r="K23" s="97" t="str">
        <x:v>未执行</x:v>
      </x:c>
    </x:row>
    <x:row r="24">
      <x:c r="A24" s="110" t="str">
        <x:v>G8</x:v>
      </x:c>
      <x:c r="B24" s="111" t="str">
        <x:v>B-020</x:v>
      </x:c>
      <x:c r="C24" s="111" t="str">
        <x:v>充电验证</x:v>
      </x:c>
      <x:c r="D24" s="111" t="str">
        <x:v>3S专用CC/CV充电器</x:v>
      </x:c>
      <x:c r="E24" s="111" t="str">
        <x:v>锂离子12.6V或LiFePO4 10.95V，限制为允许电流</x:v>
      </x:c>
      <x:c r="F24" s="111" t="str">
        <x:v>每节不超上限，均衡和保护正确，温升受控</x:v>
      </x:c>
      <x:c r="G24" s="111" t="str">
        <x:v>确认电芯化学体系</x:v>
      </x:c>
      <x:c r="H24" s="111" t="str"/>
      <x:c r="I24" s="111" t="str"/>
      <x:c r="J24" s="111" t="str"/>
      <x:c r="K24" s="112" t="str">
        <x:v>未执行</x:v>
      </x:c>
    </x:row>
  </x:sheetData>
  <x:mergeCells>
    <x:mergeCell ref="A1:K1"/>
    <x:mergeCell ref="A2:K2"/>
  </x:mergeCells>
  <x:dataValidations count="1">
    <x:dataValidation type="list" sqref="K5:K24">
      <x:formula1>"未关闭,整改中,待复验,已关闭,不适用"</x:formula1>
    </x:dataValidation>
  </x:dataValidation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9" hidden="0" customWidth="1"/>
    <x:col min="2" max="2" width="10" hidden="0" customWidth="1"/>
    <x:col min="3" max="3" width="18" hidden="0" customWidth="1"/>
    <x:col min="4" max="4" width="24" hidden="0" customWidth="1"/>
    <x:col min="5" max="5" width="48" hidden="0" customWidth="1"/>
    <x:col min="6" max="6" width="48" hidden="0" customWidth="1"/>
    <x:col min="7" max="7" width="24" hidden="0" customWidth="1"/>
    <x:col min="8" max="8" width="24" hidden="0" customWidth="1"/>
    <x:col min="9" max="9" width="14" hidden="0" customWidth="1"/>
    <x:col min="10" max="10" width="14" hidden="0" customWidth="1"/>
    <x:col min="11" max="11" width="14" hidden="0" customWidth="1"/>
  </x:cols>
  <x:sheetData>
    <x:row r="1" ht="30" customHeight="1">
      <x:c r="A1" s="23" t="str">
        <x:v>主控首板测试矩阵</x:v>
      </x:c>
      <x:c r="B1" s="23"/>
      <x:c r="C1" s="23"/>
      <x:c r="D1" s="23"/>
      <x:c r="E1" s="23"/>
      <x:c r="F1" s="23"/>
      <x:c r="G1" s="23"/>
      <x:c r="H1" s="23"/>
      <x:c r="I1" s="23"/>
      <x:c r="J1" s="23"/>
      <x:c r="K1" s="23"/>
    </x:row>
    <x:row r="2" ht="26" customHeight="1">
      <x:c r="A2" s="27" t="str">
        <x:v>先低能量、再假负载、最后昂贵模块和大功率；任何限流/发热异常立即断电</x:v>
      </x:c>
      <x:c r="B2" s="27"/>
      <x:c r="C2" s="27"/>
      <x:c r="D2" s="27"/>
      <x:c r="E2" s="27"/>
      <x:c r="F2" s="27"/>
      <x:c r="G2" s="27"/>
      <x:c r="H2" s="27"/>
      <x:c r="I2" s="27"/>
      <x:c r="J2" s="27"/>
      <x:c r="K2" s="27"/>
    </x:row>
    <x:row r="4" ht="26" customHeight="1">
      <x:c r="A4" s="31" t="str">
        <x:v>阶段</x:v>
      </x:c>
      <x:c r="B4" s="31" t="str">
        <x:v>ID</x:v>
      </x:c>
      <x:c r="C4" s="31" t="str">
        <x:v>对象</x:v>
      </x:c>
      <x:c r="D4" s="31" t="str">
        <x:v>设备</x:v>
      </x:c>
      <x:c r="E4" s="31" t="str">
        <x:v>步骤</x:v>
      </x:c>
      <x:c r="F4" s="31" t="str">
        <x:v>判定</x:v>
      </x:c>
      <x:c r="G4" s="31" t="str">
        <x:v>备注</x:v>
      </x:c>
      <x:c r="H4" s="31" t="str">
        <x:v>结果/测量值</x:v>
      </x:c>
      <x:c r="I4" s="31" t="str">
        <x:v>执行人</x:v>
      </x:c>
      <x:c r="J4" s="31" t="str">
        <x:v>日期</x:v>
      </x:c>
      <x:c r="K4" s="31" t="str">
        <x:v>状态</x:v>
      </x:c>
    </x:row>
    <x:row r="5">
      <x:c r="A5" s="113" t="str">
        <x:v>G0</x:v>
      </x:c>
      <x:c r="B5" s="114" t="str">
        <x:v>M-001</x:v>
      </x:c>
      <x:c r="C5" s="114" t="str">
        <x:v>资料门禁</x:v>
      </x:c>
      <x:c r="D5" s="114" t="str">
        <x:v>Gerber/BOM/CPL/叠层</x:v>
      </x:c>
      <x:c r="E5" s="114" t="str">
        <x:v>核对变体、DNP、50Ω、铜厚、孔径和测试点</x:v>
      </x:c>
      <x:c r="F5" s="114" t="str">
        <x:v>生产包齐套且R-03/R-04关闭</x:v>
      </x:c>
      <x:c r="G5" s="114" t="str">
        <x:v>阻断</x:v>
      </x:c>
      <x:c r="H5" s="114" t="str"/>
      <x:c r="I5" s="114" t="str"/>
      <x:c r="J5" s="114" t="str"/>
      <x:c r="K5" s="115" t="str">
        <x:v>未执行</x:v>
      </x:c>
    </x:row>
    <x:row r="6">
      <x:c r="A6" s="101" t="str">
        <x:v>G1</x:v>
      </x:c>
      <x:c r="B6" s="102" t="str">
        <x:v>M-002</x:v>
      </x:c>
      <x:c r="C6" s="102" t="str">
        <x:v>外观/AOI</x:v>
      </x:c>
      <x:c r="D6" s="102" t="str">
        <x:v>显微镜</x:v>
      </x:c>
      <x:c r="E6" s="102" t="str">
        <x:v>检查全部IC、TVS、二极管、连接器、UM982/MTi焊点和0Ω选择</x:v>
      </x:c>
      <x:c r="F6" s="102" t="str">
        <x:v>无错反漏连锡；R52/R53与R54/R55各仅一个</x:v>
      </x:c>
      <x:c r="G6" s="102" t="str">
        <x:v>必测</x:v>
      </x:c>
      <x:c r="H6" s="102" t="str"/>
      <x:c r="I6" s="102" t="str"/>
      <x:c r="J6" s="102" t="str"/>
      <x:c r="K6" s="103" t="str">
        <x:v>未执行</x:v>
      </x:c>
    </x:row>
    <x:row r="7">
      <x:c r="A7" s="95" t="str">
        <x:v>G1</x:v>
      </x:c>
      <x:c r="B7" s="96" t="str">
        <x:v>M-003</x:v>
      </x:c>
      <x:c r="C7" s="96" t="str">
        <x:v>断电阻抗</x:v>
      </x:c>
      <x:c r="D7" s="96" t="str">
        <x:v>DMM/LCR</x:v>
      </x:c>
      <x:c r="E7" s="96" t="str">
        <x:v>VBAT、5V、三路3V3及接口对地阻抗</x:v>
      </x:c>
      <x:c r="F7" s="96" t="str">
        <x:v>无硬短；同批差异可解释</x:v>
      </x:c>
      <x:c r="G7" s="96" t="str">
        <x:v>记录实测</x:v>
      </x:c>
      <x:c r="H7" s="96" t="str"/>
      <x:c r="I7" s="96" t="str"/>
      <x:c r="J7" s="96" t="str"/>
      <x:c r="K7" s="97" t="str">
        <x:v>未执行</x:v>
      </x:c>
    </x:row>
    <x:row r="8">
      <x:c r="A8" s="101" t="str">
        <x:v>G1</x:v>
      </x:c>
      <x:c r="B8" s="102" t="str">
        <x:v>M-004</x:v>
      </x:c>
      <x:c r="C8" s="102" t="str">
        <x:v>关键网络连续性</x:v>
      </x:c>
      <x:c r="D8" s="102" t="str">
        <x:v>DMM</x:v>
      </x:c>
      <x:c r="E8" s="102" t="str">
        <x:v>SY6280 IN、TPS16630 ILIM、CAN终端、MTi VDDA、RF中心针</x:v>
      </x:c>
      <x:c r="F8" s="102" t="str">
        <x:v>与批准网表一致</x:v>
      </x:c>
      <x:c r="G8" s="102" t="str">
        <x:v>必测</x:v>
      </x:c>
      <x:c r="H8" s="102" t="str"/>
      <x:c r="I8" s="102" t="str"/>
      <x:c r="J8" s="102" t="str"/>
      <x:c r="K8" s="103" t="str">
        <x:v>未执行</x:v>
      </x:c>
    </x:row>
    <x:row r="9">
      <x:c r="A9" s="95" t="str">
        <x:v>G2</x:v>
      </x:c>
      <x:c r="B9" s="96" t="str">
        <x:v>M-005</x:v>
      </x:c>
      <x:c r="C9" s="96" t="str">
        <x:v>母线首次上电</x:v>
      </x:c>
      <x:c r="D9" s="96" t="str">
        <x:v>12V实验电源</x:v>
      </x:c>
      <x:c r="E9" s="96" t="str">
        <x:v>拆除昂贵模块/外接负载；限流100mA上电，若限流立即断电</x:v>
      </x:c>
      <x:c r="F9" s="96" t="str">
        <x:v>无异常发热/气味；母线正常</x:v>
      </x:c>
      <x:c r="G9" s="96" t="str">
        <x:v>随后可升300mA/1A</x:v>
      </x:c>
      <x:c r="H9" s="96" t="str"/>
      <x:c r="I9" s="96" t="str"/>
      <x:c r="J9" s="96" t="str"/>
      <x:c r="K9" s="97" t="str">
        <x:v>未执行</x:v>
      </x:c>
    </x:row>
    <x:row r="10">
      <x:c r="A10" s="101" t="str">
        <x:v>G2</x:v>
      </x:c>
      <x:c r="B10" s="102" t="str">
        <x:v>M-006</x:v>
      </x:c>
      <x:c r="C10" s="102" t="str">
        <x:v>5V_SYS</x:v>
      </x:c>
      <x:c r="D10" s="102" t="str">
        <x:v>DMM/示波器/电子负载</x:v>
      </x:c>
      <x:c r="E10" s="102" t="str">
        <x:v>确认仅装U5或U10一种方案；空载到额定阶梯</x:v>
      </x:c>
      <x:c r="F10" s="102" t="str">
        <x:v>5V±3%，无持续振荡；纹波目标&lt;100mVpp</x:v>
      </x:c>
      <x:c r="G10" s="102" t="str">
        <x:v>目标需按模块确认</x:v>
      </x:c>
      <x:c r="H10" s="102" t="str"/>
      <x:c r="I10" s="102" t="str"/>
      <x:c r="J10" s="102" t="str"/>
      <x:c r="K10" s="103" t="str">
        <x:v>未执行</x:v>
      </x:c>
    </x:row>
    <x:row r="11">
      <x:c r="A11" s="95" t="str">
        <x:v>G2</x:v>
      </x:c>
      <x:c r="B11" s="96" t="str">
        <x:v>M-007</x:v>
      </x:c>
      <x:c r="C11" s="96" t="str">
        <x:v>三路LDO</x:v>
      </x:c>
      <x:c r="D11" s="96" t="str">
        <x:v>示波器/电子负载</x:v>
      </x:c>
      <x:c r="E11" s="96" t="str">
        <x:v>记录3V3_RTK/IMU/MCU启动、稳态、负载阶跃</x:v>
      </x:c>
      <x:c r="F11" s="96" t="str">
        <x:v>3.30V±3%，纹波&lt;=50mVpp（RTK/IMU），时序符合设计</x:v>
      </x:c>
      <x:c r="G11" s="96" t="str">
        <x:v>必测</x:v>
      </x:c>
      <x:c r="H11" s="96" t="str"/>
      <x:c r="I11" s="96" t="str"/>
      <x:c r="J11" s="96" t="str"/>
      <x:c r="K11" s="97" t="str">
        <x:v>未执行</x:v>
      </x:c>
    </x:row>
    <x:row r="12">
      <x:c r="A12" s="101" t="str">
        <x:v>G2</x:v>
      </x:c>
      <x:c r="B12" s="102" t="str">
        <x:v>M-008</x:v>
      </x:c>
      <x:c r="C12" s="102" t="str">
        <x:v>MTi VDDA压降</x:v>
      </x:c>
      <x:c r="D12" s="102" t="str">
        <x:v>示波器</x:v>
      </x:c>
      <x:c r="E12" s="102" t="str">
        <x:v>测R31两端及VDDA动态最低值</x:v>
      </x:c>
      <x:c r="F12" s="102" t="str">
        <x:v>VDDA始终2.8-3.6V，纹波&lt;=50mVpp</x:v>
      </x:c>
      <x:c r="G12" s="102" t="str">
        <x:v>建议改磁珠后复测</x:v>
      </x:c>
      <x:c r="H12" s="102" t="str"/>
      <x:c r="I12" s="102" t="str"/>
      <x:c r="J12" s="102" t="str"/>
      <x:c r="K12" s="103" t="str">
        <x:v>未执行</x:v>
      </x:c>
    </x:row>
    <x:row r="13">
      <x:c r="A13" s="95" t="str">
        <x:v>G3</x:v>
      </x:c>
      <x:c r="B13" s="96" t="str">
        <x:v>M-009</x:v>
      </x:c>
      <x:c r="C13" s="96" t="str">
        <x:v>STM32核心板</x:v>
      </x:c>
      <x:c r="D13" s="96" t="str">
        <x:v>SWD/UART</x:v>
      </x:c>
      <x:c r="E13" s="96" t="str">
        <x:v>烧录最小固件、读取ID、GPIO跑马、复位/BOOT</x:v>
      </x:c>
      <x:c r="F13" s="96" t="str">
        <x:v>可稳定编程/复位，电流合理，无供电回灌</x:v>
      </x:c>
      <x:c r="G13" s="96" t="str">
        <x:v>锁定核心板版次</x:v>
      </x:c>
      <x:c r="H13" s="96" t="str"/>
      <x:c r="I13" s="96" t="str"/>
      <x:c r="J13" s="96" t="str"/>
      <x:c r="K13" s="97" t="str">
        <x:v>未执行</x:v>
      </x:c>
    </x:row>
    <x:row r="14">
      <x:c r="A14" s="104" t="str">
        <x:v>G3</x:v>
      </x:c>
      <x:c r="B14" s="105" t="str">
        <x:v>M-010</x:v>
      </x:c>
      <x:c r="C14" s="105" t="str">
        <x:v>CAN物理层</x:v>
      </x:c>
      <x:c r="D14" s="105" t="str">
        <x:v>CAN分析仪/示波器</x:v>
      </x:c>
      <x:c r="E14" s="105" t="str">
        <x:v>核对终端；125k/500k/1Mbps回环和总线测试</x:v>
      </x:c>
      <x:c r="F14" s="105" t="str">
        <x:v>0错误帧；CANH/L幅值和共模正常</x:v>
      </x:c>
      <x:c r="G14" s="105" t="str">
        <x:v>末端装120Ω</x:v>
      </x:c>
      <x:c r="H14" s="105" t="str"/>
      <x:c r="I14" s="105" t="str"/>
      <x:c r="J14" s="105" t="str"/>
      <x:c r="K14" s="106" t="str">
        <x:v>未执行</x:v>
      </x:c>
    </x:row>
    <x:row r="15">
      <x:c r="A15" s="95" t="str">
        <x:v>G3</x:v>
      </x:c>
      <x:c r="B15" s="96" t="str">
        <x:v>M-011</x:v>
      </x:c>
      <x:c r="C15" s="96" t="str">
        <x:v>外部UART</x:v>
      </x:c>
      <x:c r="D15" s="96" t="str">
        <x:v>USB-UART</x:v>
      </x:c>
      <x:c r="E15" s="96" t="str">
        <x:v>CN3/CN8多波特率回环</x:v>
      </x:c>
      <x:c r="F15" s="96" t="str">
        <x:v>连续1h无误码，电平0-3.3V</x:v>
      </x:c>
      <x:c r="G15" s="96" t="str">
        <x:v>CN8更名</x:v>
      </x:c>
      <x:c r="H15" s="96" t="str"/>
      <x:c r="I15" s="96" t="str"/>
      <x:c r="J15" s="96" t="str"/>
      <x:c r="K15" s="97" t="str">
        <x:v>未执行</x:v>
      </x:c>
    </x:row>
    <x:row r="16">
      <x:c r="A16" s="104" t="str">
        <x:v>G3</x:v>
      </x:c>
      <x:c r="B16" s="105" t="str">
        <x:v>M-012</x:v>
      </x:c>
      <x:c r="C16" s="105" t="str">
        <x:v>BMS I2C</x:v>
      </x:c>
      <x:c r="D16" s="105" t="str">
        <x:v>逻辑分析仪</x:v>
      </x:c>
      <x:c r="E16" s="105" t="str">
        <x:v>连接H1，验证上拉/CRC/ALERT/WAKE</x:v>
      </x:c>
      <x:c r="F16" s="105" t="str">
        <x:v>地址0x08稳定，错误可恢复</x:v>
      </x:c>
      <x:c r="G16" s="105" t="str">
        <x:v>与UART区分</x:v>
      </x:c>
      <x:c r="H16" s="105" t="str"/>
      <x:c r="I16" s="105" t="str"/>
      <x:c r="J16" s="105" t="str"/>
      <x:c r="K16" s="106" t="str">
        <x:v>未执行</x:v>
      </x:c>
    </x:row>
    <x:row r="17">
      <x:c r="A17" s="95" t="str">
        <x:v>G4</x:v>
      </x:c>
      <x:c r="B17" s="96" t="str">
        <x:v>M-013</x:v>
      </x:c>
      <x:c r="C17" s="96" t="str">
        <x:v>UM982供电启动</x:v>
      </x:c>
      <x:c r="D17" s="96" t="str">
        <x:v>示波器/电流探头</x:v>
      </x:c>
      <x:c r="E17" s="96" t="str">
        <x:v>装U12，记录3V3_RTK斜率、浪涌和稳态</x:v>
      </x:c>
      <x:c r="F17" s="96" t="str">
        <x:v>3.0-3.6V，纹波&lt;=50mV，最大电流不超模块规格</x:v>
      </x:c>
      <x:c r="G17" s="96" t="str">
        <x:v>典型180mA/最大约300mA</x:v>
      </x:c>
      <x:c r="H17" s="96" t="str"/>
      <x:c r="I17" s="96" t="str"/>
      <x:c r="J17" s="96" t="str"/>
      <x:c r="K17" s="97" t="str">
        <x:v>未执行</x:v>
      </x:c>
    </x:row>
    <x:row r="18">
      <x:c r="A18" s="101" t="str">
        <x:v>G4</x:v>
      </x:c>
      <x:c r="B18" s="102" t="str">
        <x:v>M-014</x:v>
      </x:c>
      <x:c r="C18" s="102" t="str">
        <x:v>UM982通信</x:v>
      </x:c>
      <x:c r="D18" s="102" t="str">
        <x:v>UPrecise/串口</x:v>
      </x:c>
      <x:c r="E18" s="102" t="str">
        <x:v>读取型号/固件、配置并保存UART、观察导航输出</x:v>
      </x:c>
      <x:c r="F18" s="102" t="str">
        <x:v>版本可追溯，输出稳定；波特率按实际配置</x:v>
      </x:c>
      <x:c r="G18" s="102" t="str">
        <x:v>不固定假定115200</x:v>
      </x:c>
      <x:c r="H18" s="102" t="str"/>
      <x:c r="I18" s="102" t="str"/>
      <x:c r="J18" s="102" t="str"/>
      <x:c r="K18" s="103" t="str">
        <x:v>未执行</x:v>
      </x:c>
    </x:row>
    <x:row r="19">
      <x:c r="A19" s="95" t="str">
        <x:v>G4</x:v>
      </x:c>
      <x:c r="B19" s="96" t="str">
        <x:v>M-015</x:v>
      </x:c>
      <x:c r="C19" s="96" t="str">
        <x:v>双天线RF</x:v>
      </x:c>
      <x:c r="D19" s="96" t="str">
        <x:v>有源天线/频谱或VNA</x:v>
      </x:c>
      <x:c r="E19" s="96" t="str">
        <x:v>测两路偏置、电流、短路恢复、定位与航向</x:v>
      </x:c>
      <x:c r="F19" s="96" t="str">
        <x:v>偏置3.3V或5V正确；短路受限；RTK与航向符合场景</x:v>
      </x:c>
      <x:c r="G19" s="96" t="str">
        <x:v>50Ω另有制造验收</x:v>
      </x:c>
      <x:c r="H19" s="96" t="str"/>
      <x:c r="I19" s="96" t="str"/>
      <x:c r="J19" s="96" t="str"/>
      <x:c r="K19" s="97" t="str">
        <x:v>未执行</x:v>
      </x:c>
    </x:row>
    <x:row r="20">
      <x:c r="A20" s="101" t="str">
        <x:v>G4</x:v>
      </x:c>
      <x:c r="B20" s="102" t="str">
        <x:v>M-016</x:v>
      </x:c>
      <x:c r="C20" s="102" t="str">
        <x:v>PPS扇出</x:v>
      </x:c>
      <x:c r="D20" s="102" t="str">
        <x:v>示波器/时间间隔分析仪</x:v>
      </x:c>
      <x:c r="E20" s="102" t="str">
        <x:v>同时测STM32/MTi/Jetson/Lidar PPS</x:v>
      </x:c>
      <x:c r="F20" s="102" t="str">
        <x:v>电平、脉宽、极性正确；相对偏差满足系统目标</x:v>
      </x:c>
      <x:c r="G20" s="102" t="str">
        <x:v>记录4通道截图</x:v>
      </x:c>
      <x:c r="H20" s="102" t="str"/>
      <x:c r="I20" s="102" t="str"/>
      <x:c r="J20" s="102" t="str"/>
      <x:c r="K20" s="103" t="str">
        <x:v>未执行</x:v>
      </x:c>
    </x:row>
    <x:row r="21">
      <x:c r="A21" s="95" t="str">
        <x:v>G4</x:v>
      </x:c>
      <x:c r="B21" s="96" t="str">
        <x:v>M-017</x:v>
      </x:c>
      <x:c r="C21" s="96" t="str">
        <x:v>状态LED/备份电池</x:v>
      </x:c>
      <x:c r="D21" s="96" t="str">
        <x:v>DMM/掉电测试</x:v>
      </x:c>
      <x:c r="E21" s="96" t="str">
        <x:v>验证ERR/PVT/RTK灯和ML1220充电/保持</x:v>
      </x:c>
      <x:c r="F21" s="96" t="str">
        <x:v>灯色对应；V_BCKP保持且充电电流安全</x:v>
      </x:c>
      <x:c r="G21" s="96" t="str">
        <x:v>确认ML1220而非CR1220</x:v>
      </x:c>
      <x:c r="H21" s="96" t="str"/>
      <x:c r="I21" s="96" t="str"/>
      <x:c r="J21" s="96" t="str"/>
      <x:c r="K21" s="97" t="str">
        <x:v>未执行</x:v>
      </x:c>
    </x:row>
    <x:row r="22">
      <x:c r="A22" s="101" t="str">
        <x:v>G5</x:v>
      </x:c>
      <x:c r="B22" s="102" t="str">
        <x:v>M-018</x:v>
      </x:c>
      <x:c r="C22" s="102" t="str">
        <x:v>MTi接口模式</x:v>
      </x:c>
      <x:c r="D22" s="102" t="str">
        <x:v>Xsens工具/串口/SPI/I2C</x:v>
      </x:c>
      <x:c r="E22" s="102" t="str">
        <x:v>按SW1选择量产模式，读设备ID/自检/数据</x:v>
      </x:c>
      <x:c r="F22" s="102" t="str">
        <x:v>模式与PSEL一致，数据连续无丢帧</x:v>
      </x:c>
      <x:c r="G22" s="102" t="str">
        <x:v>全双工UART CTS需拉低</x:v>
      </x:c>
      <x:c r="H22" s="102" t="str"/>
      <x:c r="I22" s="102" t="str"/>
      <x:c r="J22" s="102" t="str"/>
      <x:c r="K22" s="103" t="str">
        <x:v>未执行</x:v>
      </x:c>
    </x:row>
    <x:row r="23">
      <x:c r="A23" s="95" t="str">
        <x:v>G5</x:v>
      </x:c>
      <x:c r="B23" s="96" t="str">
        <x:v>M-019</x:v>
      </x:c>
      <x:c r="C23" s="96" t="str">
        <x:v>MTi性能</x:v>
      </x:c>
      <x:c r="D23" s="96" t="str">
        <x:v>静止台/转台/温箱</x:v>
      </x:c>
      <x:c r="E23" s="96" t="str">
        <x:v>静止噪声、轴向、姿态、温漂、PPS同步</x:v>
      </x:c>
      <x:c r="F23" s="96" t="str">
        <x:v>满足产品指标；装机应力后复测</x:v>
      </x:c>
      <x:c r="G23" s="96" t="str">
        <x:v>远离磁源</x:v>
      </x:c>
      <x:c r="H23" s="96" t="str"/>
      <x:c r="I23" s="96" t="str"/>
      <x:c r="J23" s="96" t="str"/>
      <x:c r="K23" s="97" t="str">
        <x:v>未执行</x:v>
      </x:c>
    </x:row>
    <x:row r="24">
      <x:c r="A24" s="101" t="str">
        <x:v>G6</x:v>
      </x:c>
      <x:c r="B24" s="102" t="str">
        <x:v>M-020</x:v>
      </x:c>
      <x:c r="C24" s="102" t="str">
        <x:v>TPS16630阈值</x:v>
      </x:c>
      <x:c r="D24" s="102" t="str">
        <x:v>可调源/电子负载</x:v>
      </x:c>
      <x:c r="E24" s="102" t="str">
        <x:v>改正R47后验证UVLO/OVP/ILIM/IMON/FLT/SHDN</x:v>
      </x:c>
      <x:c r="F24" s="102" t="str">
        <x:v>阈值与容差计算一致；故障后恢复策略正确</x:v>
      </x:c>
      <x:c r="G24" s="102" t="str">
        <x:v>先不接雷达</x:v>
      </x:c>
      <x:c r="H24" s="102" t="str"/>
      <x:c r="I24" s="102" t="str"/>
      <x:c r="J24" s="102" t="str"/>
      <x:c r="K24" s="103" t="str">
        <x:v>未执行</x:v>
      </x:c>
    </x:row>
    <x:row r="25">
      <x:c r="A25" s="95" t="str">
        <x:v>G6</x:v>
      </x:c>
      <x:c r="B25" s="96" t="str">
        <x:v>M-021</x:v>
      </x:c>
      <x:c r="C25" s="96" t="str">
        <x:v>SY6280</x:v>
      </x:c>
      <x:c r="D25" s="96" t="str">
        <x:v>电子负载</x:v>
      </x:c>
      <x:c r="E25" s="96" t="str">
        <x:v>确认IN=5V后测EN、限流、短路恢复、温升</x:v>
      </x:c>
      <x:c r="F25" s="96" t="str">
        <x:v>约1A限流（按实测），无过热/锁死</x:v>
      </x:c>
      <x:c r="G25" s="96" t="str">
        <x:v>若IN为VBAT停止测试</x:v>
      </x:c>
      <x:c r="H25" s="96" t="str"/>
      <x:c r="I25" s="96" t="str"/>
      <x:c r="J25" s="96" t="str"/>
      <x:c r="K25" s="97" t="str">
        <x:v>未执行</x:v>
      </x:c>
    </x:row>
    <x:row r="26">
      <x:c r="A26" s="101" t="str">
        <x:v>G6</x:v>
      </x:c>
      <x:c r="B26" s="102" t="str">
        <x:v>M-022</x:v>
      </x:c>
      <x:c r="C26" s="102" t="str">
        <x:v>Jetson EN支路</x:v>
      </x:c>
      <x:c r="D26" s="102" t="str">
        <x:v>示波器/假负载</x:v>
      </x:c>
      <x:c r="E26" s="102" t="str">
        <x:v>MCU控制Q3/CN6，模拟DCDC EN</x:v>
      </x:c>
      <x:c r="F26" s="102" t="str">
        <x:v>默认关断，开关逻辑正确，无MCU过压</x:v>
      </x:c>
      <x:c r="G26" s="102" t="str">
        <x:v>再接实际DCDC</x:v>
      </x:c>
      <x:c r="H26" s="102" t="str"/>
      <x:c r="I26" s="102" t="str"/>
      <x:c r="J26" s="102" t="str"/>
      <x:c r="K26" s="103" t="str">
        <x:v>未执行</x:v>
      </x:c>
    </x:row>
    <x:row r="27">
      <x:c r="A27" s="95" t="str">
        <x:v>G6</x:v>
      </x:c>
      <x:c r="B27" s="96" t="str">
        <x:v>M-023</x:v>
      </x:c>
      <x:c r="C27" s="96" t="str">
        <x:v>三大功率分支</x:v>
      </x:c>
      <x:c r="D27" s="96" t="str">
        <x:v>电子负载/热像</x:v>
      </x:c>
      <x:c r="E27" s="96" t="str">
        <x:v>电机/Jetson/雷达逐路阶梯负载，记录连接器/保险/铜温</x:v>
      </x:c>
      <x:c r="F27" s="96" t="str">
        <x:v>压降、温升、保护均在批准限值内</x:v>
      </x:c>
      <x:c r="G27" s="96" t="str">
        <x:v>雷达300W需重设计后</x:v>
      </x:c>
      <x:c r="H27" s="96" t="str"/>
      <x:c r="I27" s="96" t="str"/>
      <x:c r="J27" s="96" t="str"/>
      <x:c r="K27" s="97" t="str">
        <x:v>未执行</x:v>
      </x:c>
    </x:row>
    <x:row r="28">
      <x:c r="A28" s="101" t="str">
        <x:v>G7</x:v>
      </x:c>
      <x:c r="B28" s="102" t="str">
        <x:v>M-024</x:v>
      </x:c>
      <x:c r="C28" s="102" t="str">
        <x:v>整机时序</x:v>
      </x:c>
      <x:c r="D28" s="102" t="str">
        <x:v>逻辑分析仪/功率分析仪</x:v>
      </x:c>
      <x:c r="E28" s="102" t="str">
        <x:v>主控控制各EN，记录上电/掉电/PPS/异常</x:v>
      </x:c>
      <x:c r="F28" s="102" t="str">
        <x:v>无回灌、棕断、锁死；可重复100次</x:v>
      </x:c>
      <x:c r="G28" s="102" t="str">
        <x:v>必测</x:v>
      </x:c>
      <x:c r="H28" s="102" t="str"/>
      <x:c r="I28" s="102" t="str"/>
      <x:c r="J28" s="102" t="str"/>
      <x:c r="K28" s="103" t="str">
        <x:v>未执行</x:v>
      </x:c>
    </x:row>
    <x:row r="29">
      <x:c r="A29" s="95" t="str">
        <x:v>G7</x:v>
      </x:c>
      <x:c r="B29" s="96" t="str">
        <x:v>M-025</x:v>
      </x:c>
      <x:c r="C29" s="96" t="str">
        <x:v>长稳与环境</x:v>
      </x:c>
      <x:c r="D29" s="96" t="str">
        <x:v>温箱/振动前后</x:v>
      </x:c>
      <x:c r="E29" s="96" t="str">
        <x:v>常温24h、高低温、重启循环、接口满负荷</x:v>
      </x:c>
      <x:c r="F29" s="96" t="str">
        <x:v>无复位/误码/过温；性能漂移可接受</x:v>
      </x:c>
      <x:c r="G29" s="96" t="str">
        <x:v>参数由产品需求定义</x:v>
      </x:c>
      <x:c r="H29" s="96" t="str"/>
      <x:c r="I29" s="96" t="str"/>
      <x:c r="J29" s="96" t="str"/>
      <x:c r="K29" s="97" t="str">
        <x:v>未执行</x:v>
      </x:c>
    </x:row>
    <x:row r="30">
      <x:c r="A30" s="110" t="str">
        <x:v>G8</x:v>
      </x:c>
      <x:c r="B30" s="111" t="str">
        <x:v>M-026</x:v>
      </x:c>
      <x:c r="C30" s="111" t="str">
        <x:v>ESD/EFT/浪涌预检</x:v>
      </x:c>
      <x:c r="D30" s="111" t="str">
        <x:v>合规设备</x:v>
      </x:c>
      <x:c r="E30" s="111" t="str">
        <x:v>CAN、PPS、UART、RF、母线分级施加</x:v>
      </x:c>
      <x:c r="F30" s="111" t="str">
        <x:v>无危险失效，功能可恢复</x:v>
      </x:c>
      <x:c r="G30" s="111" t="str">
        <x:v>正式等级需按产品标准</x:v>
      </x:c>
      <x:c r="H30" s="111" t="str"/>
      <x:c r="I30" s="111" t="str"/>
      <x:c r="J30" s="111" t="str"/>
      <x:c r="K30" s="112" t="str">
        <x:v>未执行</x:v>
      </x:c>
    </x:row>
  </x:sheetData>
  <x:mergeCells>
    <x:mergeCell ref="A1:K1"/>
    <x:mergeCell ref="A2:K2"/>
  </x:mergeCells>
  <x:dataValidations count="1">
    <x:dataValidation type="list" sqref="K5:K30">
      <x:formula1>"未关闭,整改中,待复验,已关闭,不适用"</x:formula1>
    </x:dataValidation>
  </x:dataValidation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20" hidden="0" customWidth="1"/>
    <x:col min="3" max="3" width="28" hidden="0" customWidth="1"/>
    <x:col min="4" max="4" width="48" hidden="0" customWidth="1"/>
    <x:col min="5" max="5" width="36" hidden="0" customWidth="1"/>
  </x:cols>
  <x:sheetData>
    <x:row r="1" ht="30" customHeight="1">
      <x:c r="A1" s="23" t="str">
        <x:v>3S2P 接线与插拔顺序</x:v>
      </x:c>
      <x:c r="B1" s="23"/>
      <x:c r="C1" s="23"/>
      <x:c r="D1" s="23"/>
      <x:c r="E1" s="23"/>
    </x:row>
    <x:row r="2" ht="26" customHeight="1">
      <x:c r="A2" s="27" t="str">
        <x:v>仅在 VC 映射整改、真实 BMS PCB 审查和模拟器验证通过后用于真实电池</x:v>
      </x:c>
      <x:c r="B2" s="27"/>
      <x:c r="C2" s="27"/>
      <x:c r="D2" s="27"/>
      <x:c r="E2" s="27"/>
    </x:row>
    <x:row r="4" ht="26" customHeight="1">
      <x:c r="A4" s="31" t="str">
        <x:v>线束</x:v>
      </x:c>
      <x:c r="B4" s="31" t="str">
        <x:v>电池节点</x:v>
      </x:c>
      <x:c r="C4" s="31" t="str">
        <x:v>BMS端</x:v>
      </x:c>
      <x:c r="D4" s="31" t="str">
        <x:v>线材/保护</x:v>
      </x:c>
      <x:c r="E4" s="31" t="str">
        <x:v>插接前检查</x:v>
      </x:c>
    </x:row>
    <x:row r="5">
      <x:c r="A5" s="50" t="str">
        <x:v>主负线</x:v>
      </x:c>
      <x:c r="B5" s="51" t="str">
        <x:v>B-</x:v>
      </x:c>
      <x:c r="C5" s="51" t="str">
        <x:v>CN2 - / BAT_MINUS</x:v>
      </x:c>
      <x:c r="D5" s="51" t="str">
        <x:v>按最大电流选线径，近电芯端保护</x:v>
      </x:c>
      <x:c r="E5" s="52" t="str">
        <x:v>与采样B-分开引出</x:v>
      </x:c>
    </x:row>
    <x:row r="6">
      <x:c r="A6" s="62" t="str">
        <x:v>主正线</x:v>
      </x:c>
      <x:c r="B6" s="63" t="str">
        <x:v>B+</x:v>
      </x:c>
      <x:c r="C6" s="63" t="str">
        <x:v>CN2 + / VBAT_IN</x:v>
      </x:c>
      <x:c r="D6" s="63" t="str">
        <x:v>按最大电流选线径，近电芯端熔断</x:v>
      </x:c>
      <x:c r="E6" s="64" t="str">
        <x:v>极性二次复核</x:v>
      </x:c>
    </x:row>
    <x:row r="7">
      <x:c r="A7" s="53" t="str">
        <x:v>采样0</x:v>
      </x:c>
      <x:c r="B7" s="54" t="str">
        <x:v>B-</x:v>
      </x:c>
      <x:c r="C7" s="54" t="str">
        <x:v>CN1-1 CELL0_P</x:v>
      </x:c>
      <x:c r="D7" s="54" t="str">
        <x:v>22-26 AWG，独立Kelvin线</x:v>
      </x:c>
      <x:c r="E7" s="55" t="str">
        <x:v>对B-=0V</x:v>
      </x:c>
    </x:row>
    <x:row r="8">
      <x:c r="A8" s="62" t="str">
        <x:v>采样1</x:v>
      </x:c>
      <x:c r="B8" s="63" t="str">
        <x:v>B1</x:v>
      </x:c>
      <x:c r="C8" s="63" t="str">
        <x:v>CN1-2 CELL1_P</x:v>
      </x:c>
      <x:c r="D8" s="63" t="str">
        <x:v>独立线，不共用大电流回路</x:v>
      </x:c>
      <x:c r="E8" s="64" t="str">
        <x:v>相邻为1节</x:v>
      </x:c>
    </x:row>
    <x:row r="9">
      <x:c r="A9" s="53" t="str">
        <x:v>采样2</x:v>
      </x:c>
      <x:c r="B9" s="54" t="str">
        <x:v>B2</x:v>
      </x:c>
      <x:c r="C9" s="54" t="str">
        <x:v>CN1-3 CELL2_P</x:v>
      </x:c>
      <x:c r="D9" s="54" t="str">
        <x:v>独立线并固定防磨损</x:v>
      </x:c>
      <x:c r="E9" s="55" t="str">
        <x:v>相邻为1节</x:v>
      </x:c>
    </x:row>
    <x:row r="10">
      <x:c r="A10" s="62" t="str">
        <x:v>采样3</x:v>
      </x:c>
      <x:c r="B10" s="63" t="str">
        <x:v>B+</x:v>
      </x:c>
      <x:c r="C10" s="63" t="str">
        <x:v>CN1-4 CELL3_P</x:v>
      </x:c>
      <x:c r="D10" s="63" t="str">
        <x:v>与主正同节点但独立Kelvin线</x:v>
      </x:c>
      <x:c r="E10" s="64" t="str">
        <x:v>累计为3节</x:v>
      </x:c>
    </x:row>
    <x:row r="11">
      <x:c r="A11" s="53" t="str">
        <x:v>NC</x:v>
      </x:c>
      <x:c r="B11" s="54" t="str">
        <x:v>无</x:v>
      </x:c>
      <x:c r="C11" s="54" t="str">
        <x:v>CN1-5</x:v>
      </x:c>
      <x:c r="D11" s="54" t="str">
        <x:v>封堵并绝缘</x:v>
      </x:c>
      <x:c r="E11" s="55" t="str">
        <x:v>不得连接</x:v>
      </x:c>
    </x:row>
    <x:row r="12">
      <x:c r="A12" s="71" t="str">
        <x:v>保护输出</x:v>
      </x:c>
      <x:c r="B12" s="72" t="str">
        <x:v>BMS后级</x:v>
      </x:c>
      <x:c r="C12" s="72" t="str">
        <x:v>CN3 VBAT+/GND_DC</x:v>
      </x:c>
      <x:c r="D12" s="72" t="str">
        <x:v>接主控CN5</x:v>
      </x:c>
      <x:c r="E12" s="73" t="str">
        <x:v>不得绕过Q6/Q7</x:v>
      </x:c>
    </x:row>
    <x:row r="15" ht="30" customHeight="1">
      <x:c r="A15" s="116" t="str">
        <x:v>BQ76920 修正映射：VC5=B+；VC4=VC3=VC2=B2；VC1=B1；VC0=B-</x:v>
      </x:c>
      <x:c r="B15" s="116"/>
      <x:c r="C15" s="116"/>
      <x:c r="D15" s="116"/>
      <x:c r="E15" s="116"/>
    </x:row>
    <x:row r="17">
      <x:c r="A17" s="8" t="str">
        <x:v>步骤</x:v>
      </x:c>
      <x:c r="B17" s="8" t="str">
        <x:v>动作</x:v>
      </x:c>
      <x:c r="C17" s="8" t="str">
        <x:v>检查</x:v>
      </x:c>
      <x:c r="D17" s="8" t="str">
        <x:v>工具</x:v>
      </x:c>
      <x:c r="E17" s="8" t="str">
        <x:v>状态</x:v>
      </x:c>
    </x:row>
    <x:row r="18">
      <x:c r="A18" s="20" t="str">
        <x:v>1</x:v>
      </x:c>
      <x:c r="B18" s="20" t="str">
        <x:v>用三路隔离电源串联构造 B-/B1/B2/B+</x:v>
      </x:c>
      <x:c r="C18" s="20" t="str">
        <x:v>每路3.0-3.3V，20-50mA</x:v>
      </x:c>
      <x:c r="D18" s="20" t="str">
        <x:v>隔离电源+DMM</x:v>
      </x:c>
      <x:c r="E18" s="20" t="str">
        <x:v>未执行</x:v>
      </x:c>
    </x:row>
    <x:row r="19">
      <x:c r="A19" s="20" t="str">
        <x:v>2</x:v>
      </x:c>
      <x:c r="B19" s="20" t="str">
        <x:v>测相邻和累计电压</x:v>
      </x:c>
      <x:c r="C19" s="20" t="str">
        <x:v>全部为正且累计单调</x:v>
      </x:c>
      <x:c r="D19" s="20" t="str">
        <x:v>双DMM交叉</x:v>
      </x:c>
      <x:c r="E19" s="20" t="str">
        <x:v>未执行</x:v>
      </x:c>
    </x:row>
    <x:row r="20">
      <x:c r="A20" s="20" t="str">
        <x:v>3</x:v>
      </x:c>
      <x:c r="B20" s="20" t="str">
        <x:v>按 B-→B1→B2→B+ 插采样</x:v>
      </x:c>
      <x:c r="C20" s="20" t="str">
        <x:v>无通道进入恒流</x:v>
      </x:c>
      <x:c r="D20" s="20" t="str">
        <x:v>限流监测</x:v>
      </x:c>
      <x:c r="E20" s="20" t="str">
        <x:v>未执行</x:v>
      </x:c>
    </x:row>
    <x:row r="21">
      <x:c r="A21" s="21" t="str">
        <x:v>4</x:v>
      </x:c>
      <x:c r="B21" s="21" t="str">
        <x:v>拆除按 B+→B2→B1→B-</x:v>
      </x:c>
      <x:c r="C21" s="21" t="str">
        <x:v>最后断主功率线</x:v>
      </x:c>
      <x:c r="D21" s="21" t="str">
        <x:v>DMM</x:v>
      </x:c>
      <x:c r="E21" s="21" t="str">
        <x:v>未执行</x:v>
      </x:c>
    </x:row>
  </x:sheetData>
  <x:mergeCells>
    <x:mergeCell ref="A1:E1"/>
    <x:mergeCell ref="A2:E2"/>
    <x:mergeCell ref="A15:E15"/>
  </x:mergeCells>
  <x:dataValidations count="1">
    <x:dataValidation type="list" sqref="E18:E21">
      <x:formula1>"未执行,通过,失败,不适用"</x:formula1>
    </x:dataValidation>
  </x:dataValidation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6" hidden="0" customWidth="1"/>
    <x:col min="3" max="3" width="12" hidden="0" customWidth="1"/>
    <x:col min="4" max="4" width="16" hidden="0" customWidth="1"/>
    <x:col min="5" max="5" width="32" hidden="0" customWidth="1"/>
    <x:col min="6" max="6" width="18" hidden="0" customWidth="1"/>
    <x:col min="7" max="7" width="30" hidden="0" customWidth="1"/>
  </x:cols>
  <x:sheetData>
    <x:row r="1" ht="30" customHeight="1">
      <x:c r="A1" s="22" t="str">
        <x:v>适配器与整机电源预算（黄色单元格为输入）</x:v>
      </x:c>
      <x:c r="B1" s="22"/>
      <x:c r="C1" s="22"/>
      <x:c r="D1" s="22"/>
      <x:c r="E1" s="22"/>
      <x:c r="F1" s="22"/>
      <x:c r="G1" s="22"/>
    </x:row>
    <x:row r="2" ht="34" customHeight="1">
      <x:c r="A2" s="119" t="str">
        <x:v>默认值仅来自原理图标签/工程假设：Jetson 5V8A=40W、雷达300W、主控15W；必须用最终模块规格和实测替换</x:v>
      </x:c>
      <x:c r="B2" s="119"/>
      <x:c r="C2" s="119"/>
      <x:c r="D2" s="119"/>
      <x:c r="E2" s="119"/>
      <x:c r="F2" s="119"/>
      <x:c r="G2" s="119"/>
    </x:row>
    <x:row r="4">
      <x:c r="A4" s="120" t="str">
        <x:v>负载</x:v>
      </x:c>
      <x:c r="B4" s="120" t="str">
        <x:v>输出功率 W</x:v>
      </x:c>
      <x:c r="C4" s="120" t="str">
        <x:v>效率</x:v>
      </x:c>
      <x:c r="D4" s="120" t="str">
        <x:v>输入功率 W</x:v>
      </x:c>
      <x:c r="E4" s="120" t="str">
        <x:v>来源/假设</x:v>
      </x:c>
      <x:c r="F4" s="120" t="str">
        <x:v>最终确认值 W</x:v>
      </x:c>
      <x:c r="G4" s="120" t="str">
        <x:v>备注</x:v>
      </x:c>
    </x:row>
    <x:row r="5">
      <x:c r="A5" s="20" t="str">
        <x:v>主控板</x:v>
      </x:c>
      <x:c r="B5" s="121" t="n">
        <x:v>15</x:v>
      </x:c>
      <x:c r="C5" s="123" t="n">
        <x:v>0.9</x:v>
      </x:c>
      <x:c r="D5" s="20" t="n">
        <x:f>IF(F5&gt;0,F5/C5,B5/C5)</x:f>
        <x:v>16.666666666666668</x:v>
      </x:c>
      <x:c r="E5" s="20" t="str">
        <x:v>工程占位</x:v>
      </x:c>
      <x:c r="F5" s="121"/>
      <x:c r="G5" s="20" t="str">
        <x:v>替换为实测最大值</x:v>
      </x:c>
    </x:row>
    <x:row r="6">
      <x:c r="A6" s="20" t="str">
        <x:v>Jetson</x:v>
      </x:c>
      <x:c r="B6" s="121" t="n">
        <x:v>40</x:v>
      </x:c>
      <x:c r="C6" s="123" t="n">
        <x:v>0.9</x:v>
      </x:c>
      <x:c r="D6" s="20" t="n">
        <x:f>IF(F6&gt;0,F6/C6,B6/C6)</x:f>
        <x:v>44.44444444444444</x:v>
      </x:c>
      <x:c r="E6" s="20" t="str">
        <x:v>原理图5V8A</x:v>
      </x:c>
      <x:c r="F6" s="121"/>
      <x:c r="G6" s="20" t="str">
        <x:v>按具体Jetson模式/峰值</x:v>
      </x:c>
    </x:row>
    <x:row r="7">
      <x:c r="A7" s="20" t="str">
        <x:v>雷达</x:v>
      </x:c>
      <x:c r="B7" s="121" t="n">
        <x:v>300</x:v>
      </x:c>
      <x:c r="C7" s="123" t="n">
        <x:v>0.9</x:v>
      </x:c>
      <x:c r="D7" s="20" t="n">
        <x:f>IF(F7&gt;0,F7/C7,B7/C7)</x:f>
        <x:v>333.3333333333333</x:v>
      </x:c>
      <x:c r="E7" s="20" t="str">
        <x:v>原理图标注300W</x:v>
      </x:c>
      <x:c r="F7" s="121"/>
      <x:c r="G7" s="20" t="str">
        <x:v>TPS16630路径不兼容</x:v>
      </x:c>
    </x:row>
    <x:row r="8">
      <x:c r="A8" s="20" t="str">
        <x:v>电机</x:v>
      </x:c>
      <x:c r="B8" s="121" t="n">
        <x:v>0</x:v>
      </x:c>
      <x:c r="C8" s="123" t="n">
        <x:v>0.85</x:v>
      </x:c>
      <x:c r="D8" s="20" t="n">
        <x:f>IF(F8&gt;0,F8/C8,B8/C8)</x:f>
        <x:v>0</x:v>
      </x:c>
      <x:c r="E8" s="20" t="str">
        <x:v>未知</x:v>
      </x:c>
      <x:c r="F8" s="121"/>
      <x:c r="G8" s="20" t="str">
        <x:v>填启动/堵转峰值</x:v>
      </x:c>
    </x:row>
    <x:row r="9">
      <x:c r="A9" s="21" t="str">
        <x:v>其他</x:v>
      </x:c>
      <x:c r="B9" s="122" t="n">
        <x:v>5</x:v>
      </x:c>
      <x:c r="C9" s="124" t="n">
        <x:v>0.9</x:v>
      </x:c>
      <x:c r="D9" s="21" t="n">
        <x:f>IF(F9&gt;0,F9/C9,B9/C9)</x:f>
        <x:v>5.555555555555555</x:v>
      </x:c>
      <x:c r="E9" s="21" t="str">
        <x:v>工程占位</x:v>
      </x:c>
      <x:c r="F9" s="122"/>
      <x:c r="G9" s="21" t="str">
        <x:v>通信与转换损耗</x:v>
      </x:c>
    </x:row>
    <x:row r="11" ht="28" customHeight="1">
      <x:c r="B11" s="8" t="str">
        <x:v>计算项</x:v>
      </x:c>
      <x:c r="C11" s="8" t="str">
        <x:v>值</x:v>
      </x:c>
      <x:c r="E11" s="129" t="str">
        <x:v>公式：I适配器 ≥ 1.25×[P主控 + PJetson/ηj + P雷达/ηl + P电机/ηm]/Vmin</x:v>
      </x:c>
      <x:c r="F11" s="129"/>
      <x:c r="G11" s="129"/>
    </x:row>
    <x:row r="12" ht="28" customHeight="1">
      <x:c r="B12" s="117" t="str">
        <x:v>最低输入电压 V</x:v>
      </x:c>
      <x:c r="C12" s="117" t="n">
        <x:v>9</x:v>
      </x:c>
      <x:c r="E12" s="129" t="str">
        <x:v>黄色单元格可编辑；若 F 列填写最终确认功率，计算自动优先使用 F 列。</x:v>
      </x:c>
      <x:c r="F12" s="129"/>
      <x:c r="G12" s="129"/>
    </x:row>
    <x:row r="13" ht="28" customHeight="1">
      <x:c r="B13" s="117" t="str">
        <x:v>设计裕量</x:v>
      </x:c>
      <x:c r="C13" s="125" t="n">
        <x:v>0.25</x:v>
      </x:c>
      <x:c r="E13" s="129" t="str">
        <x:v>完整系统默认值会得到很大的电流，这是 300W 雷达标签导致的真实提示，不应删掉。</x:v>
      </x:c>
      <x:c r="F13" s="129"/>
      <x:c r="G13" s="129"/>
    </x:row>
    <x:row r="14" ht="28" customHeight="1">
      <x:c r="B14" s="11" t="str">
        <x:v>总输入功率 W</x:v>
      </x:c>
      <x:c r="C14" s="11" t="n">
        <x:f>SUM(D5:D9)</x:f>
        <x:v>400</x:v>
      </x:c>
      <x:c r="E14" s="129" t="str">
        <x:v>主控裸板台架可先用 12V、3-5A 限流电源；这不是整机选型。</x:v>
      </x:c>
      <x:c r="F14" s="129"/>
      <x:c r="G14" s="129"/>
    </x:row>
    <x:row r="15" ht="28" customHeight="1">
      <x:c r="B15" s="11" t="str">
        <x:v>所需适配器电流 A</x:v>
      </x:c>
      <x:c r="C15" s="11" t="n">
        <x:f>C14/C12*(1+C13)</x:f>
        <x:v>55.55555555555556</x:v>
      </x:c>
      <x:c r="E15" s="129" t="str">
        <x:v>3S锂离子充电器：12.6V CC/CV；3S LiFePO4：10.95V CC/CV。</x:v>
      </x:c>
      <x:c r="F15" s="129"/>
      <x:c r="G15" s="129"/>
    </x:row>
    <x:row r="16" ht="28" customHeight="1">
      <x:c r="B16" s="11" t="str">
        <x:v>建议额定电流 A</x:v>
      </x:c>
      <x:c r="C16" s="11" t="n">
        <x:f>ROUNDUP(C15,0)</x:f>
        <x:v>56</x:v>
      </x:c>
      <x:c r="E16" s="129" t="str">
        <x:v>普通稳压适配器不是锂电充电器。</x:v>
      </x:c>
      <x:c r="F16" s="129"/>
      <x:c r="G16" s="129"/>
    </x:row>
    <x:row r="17" ht="28" customHeight="1">
      <x:c r="B17" s="126" t="str">
        <x:v>最低额定功率 W</x:v>
      </x:c>
      <x:c r="C17" s="126" t="n">
        <x:f>C12*C16</x:f>
        <x:v>504</x:v>
      </x:c>
      <x:c r="E17" s="129" t="str">
        <x:v>关闭 R-04 前不得让 300W 支路流经当前 TPS16630。</x:v>
      </x:c>
      <x:c r="F17" s="129"/>
      <x:c r="G17" s="129"/>
    </x:row>
  </x:sheetData>
  <x:mergeCells>
    <x:mergeCell ref="A1:G1"/>
    <x:mergeCell ref="A2:G2"/>
    <x:mergeCell ref="E11:G11"/>
    <x:mergeCell ref="E12:G12"/>
    <x:mergeCell ref="E13:G13"/>
    <x:mergeCell ref="E14:G14"/>
    <x:mergeCell ref="E15:G15"/>
    <x:mergeCell ref="E16:G16"/>
    <x:mergeCell ref="E17:G17"/>
  </x:mergeCell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16" hidden="0" customWidth="1"/>
    <x:col min="3" max="3" width="80" hidden="0" customWidth="1"/>
    <x:col min="4" max="4" width="36" hidden="0" customWidth="1"/>
    <x:col min="5" max="5" width="14" hidden="0" customWidth="1"/>
    <x:col min="6" max="6" width="16" hidden="0" customWidth="1"/>
    <x:col min="7" max="7" width="14" hidden="0" customWidth="1"/>
  </x:cols>
  <x:sheetData>
    <x:row r="1" ht="30" customHeight="1">
      <x:c r="A1" s="23" t="str">
        <x:v>生产、打板、贴装与人工焊接检查表</x:v>
      </x:c>
      <x:c r="B1" s="23"/>
      <x:c r="C1" s="23"/>
      <x:c r="D1" s="23"/>
      <x:c r="E1" s="23"/>
      <x:c r="F1" s="23"/>
      <x:c r="G1" s="23"/>
    </x:row>
    <x:row r="2" ht="26" customHeight="1">
      <x:c r="A2" s="27" t="str">
        <x:v>结果列由生产/硬件/测试三方签核；缺生产包和 P0 关闭证据不得投板</x:v>
      </x:c>
      <x:c r="B2" s="27"/>
      <x:c r="C2" s="27"/>
      <x:c r="D2" s="27"/>
      <x:c r="E2" s="27"/>
      <x:c r="F2" s="27"/>
      <x:c r="G2" s="27"/>
    </x:row>
    <x:row r="4" ht="26" customHeight="1">
      <x:c r="A4" s="31" t="str">
        <x:v>ID</x:v>
      </x:c>
      <x:c r="B4" s="31" t="str">
        <x:v>主题</x:v>
      </x:c>
      <x:c r="C4" s="31" t="str">
        <x:v>要求</x:v>
      </x:c>
      <x:c r="D4" s="31" t="str">
        <x:v>验收</x:v>
      </x:c>
      <x:c r="E4" s="31" t="str">
        <x:v>结果</x:v>
      </x:c>
      <x:c r="F4" s="31" t="str">
        <x:v>责任人</x:v>
      </x:c>
      <x:c r="G4" s="31" t="str">
        <x:v>日期</x:v>
      </x:c>
    </x:row>
    <x:row r="5">
      <x:c r="A5" s="50" t="str">
        <x:v>P-01</x:v>
      </x:c>
      <x:c r="B5" s="51" t="str">
        <x:v>发布包</x:v>
      </x:c>
      <x:c r="C5" s="51" t="str">
        <x:v>原理图PDF、Gerber X2、钻孔、IPC-356/网表、BOM含MPN、CPL、叠层、阻抗、拼板、钢网、装配图、固件/测试版本</x:v>
      </x:c>
      <x:c r="D5" s="51" t="str">
        <x:v>缺一项不投板</x:v>
      </x:c>
      <x:c r="E5" s="51" t="str">
        <x:v>未执行</x:v>
      </x:c>
      <x:c r="F5" s="51" t="str"/>
      <x:c r="G5" s="52" t="str"/>
    </x:row>
    <x:row r="6">
      <x:c r="A6" s="62" t="str">
        <x:v>P-02</x:v>
      </x:c>
      <x:c r="B6" s="63" t="str">
        <x:v>版本</x:v>
      </x:c>
      <x:c r="C6" s="63" t="str">
        <x:v>每份文件带相同版本号/日期/哈希，BMS与主控文件名不混用</x:v>
      </x:c>
      <x:c r="D6" s="63" t="str">
        <x:v>ECN 可追溯</x:v>
      </x:c>
      <x:c r="E6" s="63" t="str">
        <x:v>未执行</x:v>
      </x:c>
      <x:c r="F6" s="63" t="str"/>
      <x:c r="G6" s="64" t="str"/>
    </x:row>
    <x:row r="7">
      <x:c r="A7" s="53" t="str">
        <x:v>P-03</x:v>
      </x:c>
      <x:c r="B7" s="54" t="str">
        <x:v>BMS大电流</x:v>
      </x:c>
      <x:c r="C7" s="54" t="str">
        <x:v>VBAT+/BAT_MINUS/GND_DC、MOS、分流器、保险丝铜宽/铜厚/过孔阵列/热扩散</x:v>
      </x:c>
      <x:c r="D7" s="54" t="str">
        <x:v>按连续与峰值电流计算并验证</x:v>
      </x:c>
      <x:c r="E7" s="54" t="str">
        <x:v>未执行</x:v>
      </x:c>
      <x:c r="F7" s="54" t="str"/>
      <x:c r="G7" s="55" t="str"/>
    </x:row>
    <x:row r="8">
      <x:c r="A8" s="62" t="str">
        <x:v>P-04</x:v>
      </x:c>
      <x:c r="B8" s="63" t="str">
        <x:v>Kelvin采样</x:v>
      </x:c>
      <x:c r="C8" s="63" t="str">
        <x:v>R25 SRP/SRN 成对、对称、无负载电流共享，滤波靠近U1</x:v>
      </x:c>
      <x:c r="D8" s="63" t="str">
        <x:v>Gerber+网表审查</x:v>
      </x:c>
      <x:c r="E8" s="63" t="str">
        <x:v>未执行</x:v>
      </x:c>
      <x:c r="F8" s="63" t="str"/>
      <x:c r="G8" s="64" t="str"/>
    </x:row>
    <x:row r="9">
      <x:c r="A9" s="53" t="str">
        <x:v>P-05</x:v>
      </x:c>
      <x:c r="B9" s="54" t="str">
        <x:v>电芯采样</x:v>
      </x:c>
      <x:c r="C9" s="54" t="str">
        <x:v>VC线远离MOS开关节点；输入RC靠近U1；连接器针序/丝印清晰</x:v>
      </x:c>
      <x:c r="D9" s="54" t="str">
        <x:v>逐层审查</x:v>
      </x:c>
      <x:c r="E9" s="54" t="str">
        <x:v>未执行</x:v>
      </x:c>
      <x:c r="F9" s="54" t="str"/>
      <x:c r="G9" s="55" t="str"/>
    </x:row>
    <x:row r="10">
      <x:c r="A10" s="62" t="str">
        <x:v>P-06</x:v>
      </x:c>
      <x:c r="B10" s="63" t="str">
        <x:v>RF</x:v>
      </x:c>
      <x:c r="C10" s="63" t="str">
        <x:v>RF1/RF2 50Ω，参考平面连续，短且少过孔，ESD回路最短，地过孔围栏</x:v>
      </x:c>
      <x:c r="D10" s="63" t="str">
        <x:v>提供阻抗计算/TDR</x:v>
      </x:c>
      <x:c r="E10" s="63" t="str">
        <x:v>未执行</x:v>
      </x:c>
      <x:c r="F10" s="63" t="str"/>
      <x:c r="G10" s="64" t="str"/>
    </x:row>
    <x:row r="11">
      <x:c r="A11" s="53" t="str">
        <x:v>P-07</x:v>
      </x:c>
      <x:c r="B11" s="54" t="str">
        <x:v>MTi</x:v>
      </x:c>
      <x:c r="C11" s="54" t="str">
        <x:v>模块下方全部铜层keepout，远离电感/大电流/磁性材料/热源，避免板弯应力</x:v>
      </x:c>
      <x:c r="D11" s="54" t="str">
        <x:v>Gerber和机械图双审</x:v>
      </x:c>
      <x:c r="E11" s="54" t="str">
        <x:v>未执行</x:v>
      </x:c>
      <x:c r="F11" s="54" t="str"/>
      <x:c r="G11" s="55" t="str"/>
    </x:row>
    <x:row r="12">
      <x:c r="A12" s="62" t="str">
        <x:v>P-08</x:v>
      </x:c>
      <x:c r="B12" s="63" t="str">
        <x:v>回流</x:v>
      </x:c>
      <x:c r="C12" s="63" t="str">
        <x:v>UM982峰值&lt;=245°C；MTi按MSL3和官方曲线，双面板安排其第二次回流，均控制总回流次数</x:v>
      </x:c>
      <x:c r="D12" s="63" t="str">
        <x:v>炉温曲线存档</x:v>
      </x:c>
      <x:c r="E12" s="63" t="str">
        <x:v>未执行</x:v>
      </x:c>
      <x:c r="F12" s="63" t="str"/>
      <x:c r="G12" s="64" t="str"/>
    </x:row>
    <x:row r="13">
      <x:c r="A13" s="53" t="str">
        <x:v>P-09</x:v>
      </x:c>
      <x:c r="B13" s="54" t="str">
        <x:v>钢网</x:v>
      </x:c>
      <x:c r="C13" s="54" t="str">
        <x:v>UM982参考0.15mm且不低于0.12mm；大焊盘开窗防漂移/空洞；细间距IC独立优化</x:v>
      </x:c>
      <x:c r="D13" s="54" t="str">
        <x:v>首件X-ray/切片抽样</x:v>
      </x:c>
      <x:c r="E13" s="54" t="str">
        <x:v>未执行</x:v>
      </x:c>
      <x:c r="F13" s="54" t="str"/>
      <x:c r="G13" s="55" t="str"/>
    </x:row>
    <x:row r="14">
      <x:c r="A14" s="62" t="str">
        <x:v>P-10</x:v>
      </x:c>
      <x:c r="B14" s="63" t="str">
        <x:v>手焊</x:v>
      </x:c>
      <x:c r="C14" s="63" t="str">
        <x:v>优先只手焊连接器、插件、0Ω/DNP修补；UM982和MTi不作为常规手焊件</x:v>
      </x:c>
      <x:c r="D14" s="63" t="str">
        <x:v>受控返修温度/时间</x:v>
      </x:c>
      <x:c r="E14" s="63" t="str">
        <x:v>未执行</x:v>
      </x:c>
      <x:c r="F14" s="63" t="str"/>
      <x:c r="G14" s="64" t="str"/>
    </x:row>
    <x:row r="15">
      <x:c r="A15" s="53" t="str">
        <x:v>P-11</x:v>
      </x:c>
      <x:c r="B15" s="54" t="str">
        <x:v>极性</x:v>
      </x:c>
      <x:c r="C15" s="54" t="str">
        <x:v>XT30/XT60、TVS、肖特基、LED、ML1220、MOS、IC 1脚在丝印和装配图明确</x:v>
      </x:c>
      <x:c r="D15" s="54" t="str">
        <x:v>双人首件复核</x:v>
      </x:c>
      <x:c r="E15" s="54" t="str">
        <x:v>未执行</x:v>
      </x:c>
      <x:c r="F15" s="54" t="str"/>
      <x:c r="G15" s="55" t="str"/>
    </x:row>
    <x:row r="16">
      <x:c r="A16" s="62" t="str">
        <x:v>P-12</x:v>
      </x:c>
      <x:c r="B16" s="63" t="str">
        <x:v>互斥料</x:v>
      </x:c>
      <x:c r="C16" s="63" t="str">
        <x:v>U5/U10、R52/R53、R54/R55、R1终端、R37自恢复策略形成BOM变体</x:v>
      </x:c>
      <x:c r="D16" s="63" t="str">
        <x:v>ERP/AOI规则锁定</x:v>
      </x:c>
      <x:c r="E16" s="63" t="str">
        <x:v>未执行</x:v>
      </x:c>
      <x:c r="F16" s="63" t="str"/>
      <x:c r="G16" s="64" t="str"/>
    </x:row>
    <x:row r="17">
      <x:c r="A17" s="53" t="str">
        <x:v>P-13</x:v>
      </x:c>
      <x:c r="B17" s="54" t="str">
        <x:v>清洗</x:v>
      </x:c>
      <x:c r="C17" s="54" t="str">
        <x:v>高阻/采样/RF/IMU区域清洁、干燥，无离子残留；避免超声清洗MTi</x:v>
      </x:c>
      <x:c r="D17" s="54" t="str">
        <x:v>目检+离子污染抽检</x:v>
      </x:c>
      <x:c r="E17" s="54" t="str">
        <x:v>未执行</x:v>
      </x:c>
      <x:c r="F17" s="54" t="str"/>
      <x:c r="G17" s="55" t="str"/>
    </x:row>
    <x:row r="18">
      <x:c r="A18" s="62" t="str">
        <x:v>P-14</x:v>
      </x:c>
      <x:c r="B18" s="63" t="str">
        <x:v>连接器</x:v>
      </x:c>
      <x:c r="C18" s="63" t="str">
        <x:v>高电流焊脚充分润湿，壳体共面；线束线径、压接、熔断、应力释放和防反插</x:v>
      </x:c>
      <x:c r="D18" s="63" t="str">
        <x:v>拉力/温升/插拔抽检</x:v>
      </x:c>
      <x:c r="E18" s="63" t="str">
        <x:v>未执行</x:v>
      </x:c>
      <x:c r="F18" s="63" t="str"/>
      <x:c r="G18" s="64" t="str"/>
    </x:row>
    <x:row r="19">
      <x:c r="A19" s="56" t="str">
        <x:v>P-15</x:v>
      </x:c>
      <x:c r="B19" s="57" t="str">
        <x:v>测试点</x:v>
      </x:c>
      <x:c r="C19" s="57" t="str">
        <x:v>VBAT、5V、各3V3、B-/B1/B2/B+、SRP/SRN、REGOUT、I2C、CAN、PPS、EN/FLT均可探测</x:v>
      </x:c>
      <x:c r="D19" s="57" t="str">
        <x:v>DFT评审通过</x:v>
      </x:c>
      <x:c r="E19" s="57" t="str">
        <x:v>未执行</x:v>
      </x:c>
      <x:c r="F19" s="57" t="str"/>
      <x:c r="G19" s="58" t="str"/>
    </x:row>
  </x:sheetData>
  <x:mergeCells>
    <x:mergeCell ref="A1:G1"/>
    <x:mergeCell ref="A2:G2"/>
  </x:mergeCells>
  <x:dataValidations count="1">
    <x:dataValidation type="list" sqref="E5:E19">
      <x:formula1>"未关闭,整改中,待复验,已关闭,不适用"</x:formula1>
    </x:dataValidation>
  </x:dataValidations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76" hidden="0" customWidth="1"/>
    <x:col min="3" max="3" width="48" hidden="0" customWidth="1"/>
    <x:col min="4" max="4" width="18" hidden="0" customWidth="1"/>
  </x:cols>
  <x:sheetData>
    <x:row r="1" ht="30" customHeight="1">
      <x:c r="A1" s="23" t="str">
        <x:v>来源、边界与假设</x:v>
      </x:c>
      <x:c r="B1" s="23"/>
      <x:c r="C1" s="23"/>
      <x:c r="D1" s="23"/>
    </x:row>
    <x:row r="2" ht="26" customHeight="1">
      <x:c r="A2" s="27" t="str">
        <x:v>所有 URL 为官方一手资料；最终额定仍需 BOM、生产包、电芯和整机需求</x:v>
      </x:c>
      <x:c r="B2" s="27"/>
      <x:c r="C2" s="27"/>
      <x:c r="D2" s="27"/>
    </x:row>
    <x:row r="4" ht="26" customHeight="1">
      <x:c r="A4" s="31" t="str">
        <x:v>资料</x:v>
      </x:c>
      <x:c r="B4" s="31" t="str">
        <x:v>URL/位置</x:v>
      </x:c>
      <x:c r="C4" s="31" t="str">
        <x:v>用于</x:v>
      </x:c>
      <x:c r="D4" s="31" t="str">
        <x:v>类型</x:v>
      </x:c>
    </x:row>
    <x:row r="5">
      <x:c r="A5" s="50" t="str">
        <x:v>TI BQ76920 产品页</x:v>
      </x:c>
      <x:c r="B5" s="51" t="str">
        <x:v>https://www.ti.com/product/BQ76920</x:v>
      </x:c>
      <x:c r="C5" s="51" t="str">
        <x:v>3-5S、I2C、型号特性</x:v>
      </x:c>
      <x:c r="D5" s="52" t="str">
        <x:v>官方/一手</x:v>
      </x:c>
    </x:row>
    <x:row r="6">
      <x:c r="A6" s="62" t="str">
        <x:v>TI BQ769x0 数据手册</x:v>
      </x:c>
      <x:c r="B6" s="63" t="str">
        <x:v>https://www.ti.com/lit/ds/symlink/bq76920.pdf</x:v>
      </x:c>
      <x:c r="C6" s="63" t="str">
        <x:v>3S VC映射、启动、寄存器、保护与均衡</x:v>
      </x:c>
      <x:c r="D6" s="64" t="str">
        <x:v>官方/一手</x:v>
      </x:c>
    </x:row>
    <x:row r="7">
      <x:c r="A7" s="53" t="str">
        <x:v>TI TPS1663 数据手册</x:v>
      </x:c>
      <x:c r="B7" s="54" t="str">
        <x:v>https://www.ti.com/lit/ds/symlink/tps1663.pdf</x:v>
      </x:c>
      <x:c r="C7" s="54" t="str">
        <x:v>ILIM公式、UVLO/OVP、IMON、工作范围</x:v>
      </x:c>
      <x:c r="D7" s="55" t="str">
        <x:v>官方/一手</x:v>
      </x:c>
    </x:row>
    <x:row r="8">
      <x:c r="A8" s="62" t="str">
        <x:v>TI TPS7A8101 产品页</x:v>
      </x:c>
      <x:c r="B8" s="63" t="str">
        <x:v>https://www.ti.com/product/TPS7A8101</x:v>
      </x:c>
      <x:c r="C8" s="63" t="str">
        <x:v>LDO范围、反馈与稳定性</x:v>
      </x:c>
      <x:c r="D8" s="64" t="str">
        <x:v>官方/一手</x:v>
      </x:c>
    </x:row>
    <x:row r="9">
      <x:c r="A9" s="53" t="str">
        <x:v>TI TPS5430 产品页</x:v>
      </x:c>
      <x:c r="B9" s="54" t="str">
        <x:v>https://www.ti.com/product/TPS5430</x:v>
      </x:c>
      <x:c r="C9" s="54" t="str">
        <x:v>Buck工作范围与参考设计</x:v>
      </x:c>
      <x:c r="D9" s="55" t="str">
        <x:v>官方/一手</x:v>
      </x:c>
    </x:row>
    <x:row r="10">
      <x:c r="A10" s="62" t="str">
        <x:v>TI SN65HVD230 产品页</x:v>
      </x:c>
      <x:c r="B10" s="63" t="str">
        <x:v>https://www.ti.com/product/SN65HVD230</x:v>
      </x:c>
      <x:c r="C10" s="63" t="str">
        <x:v>3.3V CAN物理层</x:v>
      </x:c>
      <x:c r="D10" s="64" t="str">
        <x:v>官方/一手</x:v>
      </x:c>
    </x:row>
    <x:row r="11">
      <x:c r="A11" s="53" t="str">
        <x:v>TI SN74LVC541A 产品页</x:v>
      </x:c>
      <x:c r="B11" s="54" t="str">
        <x:v>https://www.ti.com/product/SN74LVC541A</x:v>
      </x:c>
      <x:c r="C11" s="54" t="str">
        <x:v>PPS缓冲器供电和逻辑</x:v>
      </x:c>
      <x:c r="D11" s="55" t="str">
        <x:v>官方/一手</x:v>
      </x:c>
    </x:row>
    <x:row r="12">
      <x:c r="A12" s="62" t="str">
        <x:v>onsemi FPF2004 数据手册</x:v>
      </x:c>
      <x:c r="B12" s="63" t="str">
        <x:v>https://www.onsemi.com/download/data-sheet/pdf/fpf2001-d.pdf</x:v>
      </x:c>
      <x:c r="C12" s="63" t="str">
        <x:v>天线偏置负载开关范围/限流</x:v>
      </x:c>
      <x:c r="D12" s="64" t="str">
        <x:v>官方/一手</x:v>
      </x:c>
    </x:row>
    <x:row r="13">
      <x:c r="A13" s="53" t="str">
        <x:v>Silergy SY6280 数据手册</x:v>
      </x:c>
      <x:c r="B13" s="54" t="str">
        <x:v>https://www.silergy.com/download/downloadFile?ftype=note&amp;id=4369&amp;type=product</x:v>
      </x:c>
      <x:c r="C13" s="54" t="str">
        <x:v>输入范围和限流公式</x:v>
      </x:c>
      <x:c r="D13" s="55" t="str">
        <x:v>官方/一手</x:v>
      </x:c>
    </x:row>
    <x:row r="14">
      <x:c r="A14" s="62" t="str">
        <x:v>Unicore UM982 产品页</x:v>
      </x:c>
      <x:c r="B14" s="63" t="str">
        <x:v>https://en.unicorecomm.com/products/um982/</x:v>
      </x:c>
      <x:c r="C14" s="63" t="str">
        <x:v>模块能力与资料入口</x:v>
      </x:c>
      <x:c r="D14" s="64" t="str">
        <x:v>官方/一手</x:v>
      </x:c>
    </x:row>
    <x:row r="15">
      <x:c r="A15" s="53" t="str">
        <x:v>Unicore UM982 用户手册</x:v>
      </x:c>
      <x:c r="B15" s="54" t="str">
        <x:v>https://en.unicorecomm.com/uploads/file/UM982_User%20Manual_EN_R1.7.pdf</x:v>
      </x:c>
      <x:c r="C15" s="54" t="str">
        <x:v>电源、射频、回流与接口</x:v>
      </x:c>
      <x:c r="D15" s="55" t="str">
        <x:v>官方/一手</x:v>
      </x:c>
    </x:row>
    <x:row r="16">
      <x:c r="A16" s="62" t="str">
        <x:v>Xsens 电源设计</x:v>
      </x:c>
      <x:c r="B16" s="63" t="str">
        <x:v>https://mtidocs.xsens.com/power-supply</x:v>
      </x:c>
      <x:c r="C16" s="63" t="str">
        <x:v>VDDA/VDDIO、纹波、磁珠</x:v>
      </x:c>
      <x:c r="D16" s="64" t="str">
        <x:v>官方/一手</x:v>
      </x:c>
    </x:row>
    <x:row r="17">
      <x:c r="A17" s="53" t="str">
        <x:v>Xsens 接口</x:v>
      </x:c>
      <x:c r="B17" s="54" t="str">
        <x:v>https://mtidocs.xsens.com/interfaces</x:v>
      </x:c>
      <x:c r="C17" s="54" t="str">
        <x:v>PSEL组合与UART CTS</x:v>
      </x:c>
      <x:c r="D17" s="55" t="str">
        <x:v>官方/一手</x:v>
      </x:c>
    </x:row>
    <x:row r="18">
      <x:c r="A18" s="62" t="str">
        <x:v>Xsens PCB设计</x:v>
      </x:c>
      <x:c r="B18" s="63" t="str">
        <x:v>https://mtidocs.xsens.com/design</x:v>
      </x:c>
      <x:c r="C18" s="63" t="str">
        <x:v>禁布铜、磁/热/机械约束</x:v>
      </x:c>
      <x:c r="D18" s="64" t="str">
        <x:v>官方/一手</x:v>
      </x:c>
    </x:row>
    <x:row r="19">
      <x:c r="A19" s="53" t="str">
        <x:v>Xsens 处理/回流</x:v>
      </x:c>
      <x:c r="B19" s="54" t="str">
        <x:v>https://mtidocs.xsens.com/handling</x:v>
      </x:c>
      <x:c r="C19" s="54" t="str">
        <x:v>MSL、回流次数、清洗和手焊限制</x:v>
      </x:c>
      <x:c r="D19" s="55" t="str">
        <x:v>官方/一手</x:v>
      </x:c>
    </x:row>
    <x:row r="20">
      <x:c r="A20" s="62" t="str">
        <x:v>本地设计文件</x:v>
      </x:c>
      <x:c r="B20" s="63" t="str">
        <x:v>见同目录六个输入文件</x:v>
      </x:c>
      <x:c r="C20" s="63" t="str">
        <x:v>原理图/PCB/SOP版本审查</x:v>
      </x:c>
      <x:c r="D20" s="64" t="str">
        <x:v>项目输入</x:v>
      </x:c>
    </x:row>
    <x:row r="21">
      <x:c r="A21" s="56" t="str">
        <x:v>假设</x:v>
      </x:c>
      <x:c r="B21" s="57" t="str">
        <x:v>主控15W、效率90%、Li-ion单芯3Ah示例</x:v>
      </x:c>
      <x:c r="C21" s="57" t="str">
        <x:v>仅用于说明计算方法，不是最终规格</x:v>
      </x:c>
      <x:c r="D21" s="58" t="str">
        <x:v>必须替换</x:v>
      </x:c>
    </x:row>
  </x:sheetData>
  <x:mergeCells>
    <x:mergeCell ref="A1:D1"/>
    <x:mergeCell ref="A2:D2"/>
  </x:mergeCells>
  <x:pageMargins left="0.7" right="0.7" top="0.75" bottom="0.75" header="0.3" footer="0.3"/>
</x:worksheet>
</file>